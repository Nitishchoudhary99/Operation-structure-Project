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1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3.xml" ContentType="application/vnd.openxmlformats-officedocument.spreadsheetml.comments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Purchases" sheetId="3" state="visible" r:id="rId3"/>
    <sheet xmlns:r="http://schemas.openxmlformats.org/officeDocument/2006/relationships" name="CashBook" sheetId="4" state="visible" r:id="rId4"/>
    <sheet xmlns:r="http://schemas.openxmlformats.org/officeDocument/2006/relationships" name="Items" sheetId="5" state="visible" r:id="rId5"/>
    <sheet xmlns:r="http://schemas.openxmlformats.org/officeDocument/2006/relationships" name="Parties" sheetId="6" state="visible" r:id="rId6"/>
    <sheet xmlns:r="http://schemas.openxmlformats.org/officeDocument/2006/relationships" name="Adjustments" sheetId="7" state="visible" r:id="rId7"/>
    <sheet xmlns:r="http://schemas.openxmlformats.org/officeDocument/2006/relationships" name="Invoice" sheetId="8" state="visible" r:id="rId8"/>
    <sheet xmlns:r="http://schemas.openxmlformats.org/officeDocument/2006/relationships" name="Reports" sheetId="9" state="visible" r:id="rId9"/>
    <sheet xmlns:r="http://schemas.openxmlformats.org/officeDocument/2006/relationships" name="Settings" sheetId="10" state="visible" r:id="rId10"/>
    <sheet xmlns:r="http://schemas.openxmlformats.org/officeDocument/2006/relationships" name="Guide" sheetId="11" state="visible" r:id="rId11"/>
  </sheets>
  <definedNames>
    <definedName name="CoName">Settings!$B$4</definedName>
    <definedName name="CoAddr">Settings!$B$5</definedName>
    <definedName name="CoGSTIN">Settings!$B$6</definedName>
    <definedName name="HomeState">Settings!$B$7</definedName>
    <definedName name="CoPhone">Settings!$B$8</definedName>
    <definedName name="FYStart">Settings!$B$9</definedName>
    <definedName name="AsOf">Settings!$B$10</definedName>
    <definedName name="InvPrefix">Settings!$B$11</definedName>
    <definedName name="DeadDays">Settings!$B$12</definedName>
    <definedName name="CoBank">Settings!$B$13</definedName>
    <definedName name="L_Categories">OFFSET(Settings!$D$5,0,0,MAX(1,COUNTA(Settings!$D$5:$D$44)),1)</definedName>
    <definedName name="L_Units">OFFSET(Settings!$E$5,0,0,MAX(1,COUNTA(Settings!$E$5:$E$44)),1)</definedName>
    <definedName name="L_GSTRates">OFFSET(Settings!$F$5,0,0,MAX(1,COUNTA(Settings!$F$5:$F$44)),1)</definedName>
    <definedName name="L_PayModes">OFFSET(Settings!$G$5,0,0,MAX(1,COUNTA(Settings!$G$5:$G$44)),1)</definedName>
    <definedName name="L_VoucherTypes">OFFSET(Settings!$H$5,0,0,MAX(1,COUNTA(Settings!$H$5:$H$44)),1)</definedName>
    <definedName name="L_ExpenseHeads">OFFSET(Settings!$I$5,0,0,MAX(1,COUNTA(Settings!$I$5:$I$44)),1)</definedName>
    <definedName name="L_PartyTypes">OFFSET(Settings!$J$5,0,0,MAX(1,COUNTA(Settings!$J$5:$J$44)),1)</definedName>
    <definedName name="L_DeliveryStatus">OFFSET(Settings!$K$5,0,0,MAX(1,COUNTA(Settings!$K$5:$K$44)),1)</definedName>
    <definedName name="L_AdjReasons">OFFSET(Settings!$L$5,0,0,MAX(1,COUNTA(Settings!$L$5:$L$44)),1)</definedName>
    <definedName name="L_States">OFFSET(Settings!$M$5,0,0,MAX(1,COUNTA(Settings!$M$5:$M$44)),1)</definedName>
    <definedName name="L_Accounts">OFFSET(Settings!$A$18,0,0,MAX(1,COUNTA(Settings!$A$18:$A$25)),1)</definedName>
    <definedName name="L_Items">OFFSET(Items!$A$5,0,0,MAX(1,COUNTA(Items!$A$5:$A$2004)),1)</definedName>
    <definedName name="L_Parties">OFFSET(Parties!$A$5,0,0,MAX(1,COUNTA(Parties!$A$5:$A$1004)),1)</definedName>
    <definedName name="DFrom">Dashboard!$D$4</definedName>
    <definedName name="DTo">Dashboard!$G$4</definedName>
    <definedName name="IN_Items">Items!$A$5:$K$2004</definedName>
    <definedName name="IN_Parties">Parties!$A$5:$I$1004</definedName>
    <definedName name="IN_Purchases">Purchases!$A$5:$H$20004</definedName>
    <definedName name="IN_Sales">Sales!$A$5:$I$20004</definedName>
    <definedName name="IN_CashBook">CashBook!$A$5:$H$20004</definedName>
    <definedName name="IN_Adjust">Adjustments!$A$5:$E$2004</definedName>
    <definedName name="IN_Settings">Settings!$B$4:$B$13</definedName>
    <definedName name="_xlnm._FilterDatabase" localSheetId="1" hidden="1">'Sales'!$A$4:$X$20004</definedName>
    <definedName name="_xlnm._FilterDatabase" localSheetId="2" hidden="1">'Purchases'!$A$4:$S$20004</definedName>
    <definedName name="_xlnm._FilterDatabase" localSheetId="3" hidden="1">'CashBook'!$A$4:$K$20004</definedName>
    <definedName name="_xlnm._FilterDatabase" localSheetId="4" hidden="1">'Items'!$A$4:$Z$2004</definedName>
    <definedName name="_xlnm._FilterDatabase" localSheetId="5" hidden="1">'Parties'!$A$4:$S$1004</definedName>
    <definedName name="_xlnm._FilterDatabase" localSheetId="6" hidden="1">'Adjustments'!$A$4:$G$2004</definedName>
    <definedName name="_xlnm.Print_Area" localSheetId="7">'Invoice'!$A$1:$K$43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"/>
    <numFmt numFmtId="165" formatCode="dd-mmm-yy"/>
    <numFmt numFmtId="166" formatCode="&quot;₹&quot;#,##0.00;[Red]-&quot;₹&quot;#,##0.00;&quot;-&quot;"/>
    <numFmt numFmtId="167" formatCode="0.##%"/>
    <numFmt numFmtId="168" formatCode="#,##0.##;[Red]-#,##0.##;&quot;-&quot;"/>
    <numFmt numFmtId="169" formatCode="0.0%;[Red]-0.0%;&quot;-&quot;"/>
    <numFmt numFmtId="170" formatCode="&quot;₹&quot;#,##0;[Red]-&quot;₹&quot;#,##0;&quot;-&quot;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9"/>
    </font>
    <font>
      <name val="Arial"/>
      <b val="1"/>
      <color rgb="000563C1"/>
      <u val="single"/>
    </font>
    <font>
      <name val="Arial"/>
      <b val="1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b val="1"/>
      <color rgb="001F3864"/>
      <sz val="11"/>
    </font>
    <font>
      <name val="Arial"/>
      <b val="1"/>
      <color rgb="00FFFFFF"/>
      <sz val="10"/>
    </font>
    <font>
      <name val="Arial"/>
      <i val="1"/>
      <sz val="8"/>
    </font>
    <font>
      <name val="Arial"/>
      <color rgb="000000FF"/>
      <sz val="8"/>
    </font>
    <font>
      <name val="Arial"/>
      <color rgb="00595959"/>
      <sz val="8"/>
    </font>
    <font>
      <name val="Arial"/>
      <b val="1"/>
      <color rgb="001F3864"/>
      <sz val="18"/>
    </font>
    <font>
      <name val="Arial"/>
      <sz val="9"/>
    </font>
    <font>
      <name val="Arial"/>
      <b val="1"/>
      <color rgb="00FFFFFF"/>
      <sz val="13"/>
    </font>
    <font>
      <name val="Arial"/>
      <b val="1"/>
      <color rgb="000000FF"/>
      <sz val="11"/>
    </font>
    <font>
      <name val="Arial"/>
      <b val="1"/>
      <sz val="11"/>
    </font>
    <font>
      <name val="Arial"/>
      <b val="1"/>
      <color rgb="001F3864"/>
      <sz val="12"/>
    </font>
    <font>
      <name val="Arial"/>
      <color rgb="00C00000"/>
      <sz val="9"/>
    </font>
    <font>
      <name val="Arial"/>
      <color rgb="00008000"/>
      <sz val="10"/>
    </font>
    <font>
      <name val="Arial"/>
      <b val="1"/>
      <color rgb="00FFFFFF"/>
      <sz val="20"/>
    </font>
    <font>
      <name val="Arial"/>
      <b val="1"/>
      <color rgb="000000FF"/>
      <sz val="10"/>
    </font>
    <font>
      <name val="Arial"/>
      <b val="1"/>
      <color rgb="002E7D32"/>
      <sz val="9"/>
    </font>
    <font>
      <name val="Arial"/>
      <b val="1"/>
      <color rgb="00FFFFFF"/>
      <sz val="9"/>
    </font>
    <font>
      <name val="Arial"/>
      <b val="1"/>
      <color rgb="00FFFFFF"/>
      <sz val="8"/>
    </font>
    <font>
      <name val="Arial"/>
      <b val="1"/>
      <color rgb="00FFFFFF"/>
      <sz val="11"/>
    </font>
    <font>
      <name val="Arial"/>
      <i val="1"/>
      <color rgb="00595959"/>
      <sz val="8"/>
    </font>
  </fonts>
  <fills count="22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FF8DC"/>
        <bgColor rgb="00FFF8DC"/>
      </patternFill>
    </fill>
    <fill>
      <patternFill patternType="solid">
        <fgColor rgb="000E7C86"/>
        <bgColor rgb="000E7C86"/>
      </patternFill>
    </fill>
    <fill>
      <patternFill patternType="solid">
        <fgColor rgb="00595959"/>
        <bgColor rgb="00595959"/>
      </patternFill>
    </fill>
    <fill>
      <patternFill patternType="solid">
        <fgColor rgb="00FFFFFF"/>
        <bgColor rgb="00FFFFFF"/>
      </patternFill>
    </fill>
    <fill>
      <patternFill patternType="solid">
        <fgColor rgb="00EEF3FA"/>
        <bgColor rgb="00EEF3FA"/>
      </patternFill>
    </fill>
    <fill>
      <patternFill patternType="solid">
        <fgColor rgb="002E7D32"/>
        <bgColor rgb="002E7D32"/>
      </patternFill>
    </fill>
    <fill>
      <patternFill patternType="solid">
        <fgColor rgb="001B5E20"/>
        <bgColor rgb="001B5E20"/>
      </patternFill>
    </fill>
    <fill>
      <patternFill patternType="solid">
        <fgColor rgb="006A1B9A"/>
        <bgColor rgb="006A1B9A"/>
      </patternFill>
    </fill>
    <fill>
      <patternFill patternType="solid">
        <fgColor rgb="00C62828"/>
        <bgColor rgb="00C62828"/>
      </patternFill>
    </fill>
    <fill>
      <patternFill patternType="solid">
        <fgColor rgb="0000838F"/>
        <bgColor rgb="0000838F"/>
      </patternFill>
    </fill>
    <fill>
      <patternFill patternType="solid">
        <fgColor rgb="00EF6C00"/>
        <bgColor rgb="00EF6C00"/>
      </patternFill>
    </fill>
    <fill>
      <patternFill patternType="solid">
        <fgColor rgb="00AD1457"/>
        <bgColor rgb="00AD1457"/>
      </patternFill>
    </fill>
    <fill>
      <patternFill patternType="solid">
        <fgColor rgb="00283593"/>
        <bgColor rgb="00283593"/>
      </patternFill>
    </fill>
    <fill>
      <patternFill patternType="solid">
        <fgColor rgb="00455A64"/>
        <bgColor rgb="00455A64"/>
      </patternFill>
    </fill>
    <fill>
      <patternFill patternType="solid">
        <fgColor rgb="00F9A825"/>
        <bgColor rgb="00F9A825"/>
      </patternFill>
    </fill>
    <fill>
      <patternFill patternType="solid">
        <fgColor rgb="006D4C41"/>
        <bgColor rgb="006D4C41"/>
      </patternFill>
    </fill>
    <fill>
      <patternFill patternType="solid">
        <fgColor rgb="00D84315"/>
        <bgColor rgb="00D84315"/>
      </patternFill>
    </fill>
    <fill>
      <patternFill patternType="solid">
        <fgColor rgb="000277BD"/>
        <bgColor rgb="000277BD"/>
      </patternFill>
    </fill>
    <fill>
      <patternFill patternType="solid">
        <fgColor rgb="0037474F"/>
        <bgColor rgb="0037474F"/>
      </patternFill>
    </fill>
  </fills>
  <borders count="4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ck">
        <color rgb="00FFFFFF"/>
      </left>
      <right style="thick">
        <color rgb="00FFFFFF"/>
      </right>
    </border>
    <border>
      <bottom style="thin">
        <color rgb="00BFBFBF"/>
      </bottom>
    </border>
  </borders>
  <cellStyleXfs count="1">
    <xf numFmtId="0" fontId="0" fillId="0" borderId="0"/>
  </cellStyleXfs>
  <cellXfs count="120">
    <xf numFmtId="0" fontId="0" fillId="0" borderId="0" pivotButton="0" quotePrefix="0" xfId="0"/>
    <xf numFmtId="0" fontId="0" fillId="2" borderId="0" pivotButton="0" quotePrefix="0" xfId="0"/>
    <xf numFmtId="0" fontId="20" fillId="2" borderId="0" pivotButton="0" quotePrefix="0" xfId="0"/>
    <xf numFmtId="0" fontId="2" fillId="2" borderId="0" pivotButton="0" quotePrefix="0" xfId="0"/>
    <xf numFmtId="0" fontId="4" fillId="0" borderId="0" pivotButton="0" quotePrefix="0" xfId="0"/>
    <xf numFmtId="165" fontId="21" fillId="3" borderId="1" pivotButton="0" quotePrefix="0" xfId="0"/>
    <xf numFmtId="0" fontId="9" fillId="0" borderId="0" pivotButton="0" quotePrefix="0" xfId="0"/>
    <xf numFmtId="0" fontId="22" fillId="0" borderId="0" applyAlignment="1" pivotButton="0" quotePrefix="0" xfId="0">
      <alignment horizontal="right"/>
    </xf>
    <xf numFmtId="0" fontId="23" fillId="4" borderId="2" applyAlignment="1" pivotButton="0" quotePrefix="0" xfId="0">
      <alignment horizontal="center" vertical="center" wrapText="1"/>
    </xf>
    <xf numFmtId="0" fontId="24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4" fillId="8" borderId="0" applyAlignment="1" pivotButton="0" quotePrefix="0" xfId="0">
      <alignment horizontal="center" vertical="center"/>
    </xf>
    <xf numFmtId="0" fontId="0" fillId="8" borderId="0" applyAlignment="1" pivotButton="0" quotePrefix="0" xfId="0">
      <alignment horizontal="center" vertical="center"/>
    </xf>
    <xf numFmtId="0" fontId="24" fillId="9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  <xf numFmtId="0" fontId="24" fillId="10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24" fillId="11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 vertical="center"/>
    </xf>
    <xf numFmtId="170" fontId="1" fillId="4" borderId="0" applyAlignment="1" pivotButton="0" quotePrefix="0" xfId="0">
      <alignment horizontal="center" vertical="center"/>
    </xf>
    <xf numFmtId="170" fontId="1" fillId="8" borderId="0" applyAlignment="1" pivotButton="0" quotePrefix="0" xfId="0">
      <alignment horizontal="center" vertical="center"/>
    </xf>
    <xf numFmtId="170" fontId="1" fillId="9" borderId="0" applyAlignment="1" pivotButton="0" quotePrefix="0" xfId="0">
      <alignment horizontal="center" vertical="center"/>
    </xf>
    <xf numFmtId="170" fontId="1" fillId="10" borderId="0" applyAlignment="1" pivotButton="0" quotePrefix="0" xfId="0">
      <alignment horizontal="center" vertical="center"/>
    </xf>
    <xf numFmtId="170" fontId="1" fillId="11" borderId="0" applyAlignment="1" pivotButton="0" quotePrefix="0" xfId="0">
      <alignment horizontal="center" vertical="center"/>
    </xf>
    <xf numFmtId="0" fontId="24" fillId="12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 vertical="center"/>
    </xf>
    <xf numFmtId="0" fontId="24" fillId="13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center" vertical="center"/>
    </xf>
    <xf numFmtId="0" fontId="24" fillId="14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 vertical="center"/>
    </xf>
    <xf numFmtId="0" fontId="24" fillId="15" borderId="0" applyAlignment="1" pivotButton="0" quotePrefix="0" xfId="0">
      <alignment horizontal="center" vertical="center"/>
    </xf>
    <xf numFmtId="0" fontId="0" fillId="15" borderId="0" applyAlignment="1" pivotButton="0" quotePrefix="0" xfId="0">
      <alignment horizontal="center" vertical="center"/>
    </xf>
    <xf numFmtId="0" fontId="24" fillId="16" borderId="0" applyAlignment="1" pivotButton="0" quotePrefix="0" xfId="0">
      <alignment horizontal="center" vertical="center"/>
    </xf>
    <xf numFmtId="0" fontId="0" fillId="16" borderId="0" applyAlignment="1" pivotButton="0" quotePrefix="0" xfId="0">
      <alignment horizontal="center" vertical="center"/>
    </xf>
    <xf numFmtId="169" fontId="1" fillId="12" borderId="0" applyAlignment="1" pivotButton="0" quotePrefix="0" xfId="0">
      <alignment horizontal="center" vertical="center"/>
    </xf>
    <xf numFmtId="170" fontId="1" fillId="13" borderId="0" applyAlignment="1" pivotButton="0" quotePrefix="0" xfId="0">
      <alignment horizontal="center" vertical="center"/>
    </xf>
    <xf numFmtId="170" fontId="1" fillId="14" borderId="0" applyAlignment="1" pivotButton="0" quotePrefix="0" xfId="0">
      <alignment horizontal="center" vertical="center"/>
    </xf>
    <xf numFmtId="170" fontId="1" fillId="15" borderId="0" applyAlignment="1" pivotButton="0" quotePrefix="0" xfId="0">
      <alignment horizontal="center" vertical="center"/>
    </xf>
    <xf numFmtId="170" fontId="1" fillId="16" borderId="0" applyAlignment="1" pivotButton="0" quotePrefix="0" xfId="0">
      <alignment horizontal="center" vertical="center"/>
    </xf>
    <xf numFmtId="0" fontId="24" fillId="17" borderId="0" applyAlignment="1" pivotButton="0" quotePrefix="0" xfId="0">
      <alignment horizontal="center" vertical="center"/>
    </xf>
    <xf numFmtId="0" fontId="0" fillId="17" borderId="0" applyAlignment="1" pivotButton="0" quotePrefix="0" xfId="0">
      <alignment horizontal="center" vertical="center"/>
    </xf>
    <xf numFmtId="0" fontId="24" fillId="18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center" vertical="center"/>
    </xf>
    <xf numFmtId="0" fontId="24" fillId="19" borderId="0" applyAlignment="1" pivotButton="0" quotePrefix="0" xfId="0">
      <alignment horizontal="center" vertical="center"/>
    </xf>
    <xf numFmtId="0" fontId="0" fillId="19" borderId="0" applyAlignment="1" pivotButton="0" quotePrefix="0" xfId="0">
      <alignment horizontal="center" vertical="center"/>
    </xf>
    <xf numFmtId="0" fontId="24" fillId="20" borderId="0" applyAlignment="1" pivotButton="0" quotePrefix="0" xfId="0">
      <alignment horizontal="center" vertical="center"/>
    </xf>
    <xf numFmtId="0" fontId="0" fillId="20" borderId="0" applyAlignment="1" pivotButton="0" quotePrefix="0" xfId="0">
      <alignment horizontal="center" vertical="center"/>
    </xf>
    <xf numFmtId="0" fontId="24" fillId="21" borderId="0" applyAlignment="1" pivotButton="0" quotePrefix="0" xfId="0">
      <alignment horizontal="center" vertical="center"/>
    </xf>
    <xf numFmtId="0" fontId="0" fillId="21" borderId="0" applyAlignment="1" pivotButton="0" quotePrefix="0" xfId="0">
      <alignment horizontal="center" vertical="center"/>
    </xf>
    <xf numFmtId="1" fontId="1" fillId="17" borderId="0" applyAlignment="1" pivotButton="0" quotePrefix="0" xfId="0">
      <alignment horizontal="center" vertical="center"/>
    </xf>
    <xf numFmtId="1" fontId="1" fillId="18" borderId="0" applyAlignment="1" pivotButton="0" quotePrefix="0" xfId="0">
      <alignment horizontal="center" vertical="center"/>
    </xf>
    <xf numFmtId="1" fontId="1" fillId="19" borderId="0" applyAlignment="1" pivotButton="0" quotePrefix="0" xfId="0">
      <alignment horizontal="center" vertical="center"/>
    </xf>
    <xf numFmtId="1" fontId="1" fillId="20" borderId="0" applyAlignment="1" pivotButton="0" quotePrefix="0" xfId="0">
      <alignment horizontal="center" vertical="center"/>
    </xf>
    <xf numFmtId="0" fontId="1" fillId="21" borderId="0" applyAlignment="1" pivotButton="0" quotePrefix="0" xfId="0">
      <alignment horizontal="center" vertical="center"/>
    </xf>
    <xf numFmtId="0" fontId="7" fillId="0" borderId="0" pivotButton="0" quotePrefix="0" xfId="0"/>
    <xf numFmtId="0" fontId="8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19" fillId="0" borderId="0" pivotButton="0" quotePrefix="0" xfId="0"/>
    <xf numFmtId="170" fontId="0" fillId="0" borderId="0" pivotButton="0" quotePrefix="0" xfId="0"/>
    <xf numFmtId="170" fontId="4" fillId="0" borderId="0" pivotButton="0" quotePrefix="0" xfId="0"/>
    <xf numFmtId="0" fontId="0" fillId="0" borderId="3" pivotButton="0" quotePrefix="0" xfId="0"/>
    <xf numFmtId="170" fontId="0" fillId="0" borderId="3" pivotButton="0" quotePrefix="0" xfId="0"/>
    <xf numFmtId="168" fontId="0" fillId="0" borderId="3" pivotButton="0" quotePrefix="0" xfId="0"/>
    <xf numFmtId="170" fontId="17" fillId="7" borderId="0" pivotButton="0" quotePrefix="0" xfId="0"/>
    <xf numFmtId="165" fontId="5" fillId="3" borderId="0" pivotButton="0" quotePrefix="0" xfId="0"/>
    <xf numFmtId="0" fontId="5" fillId="3" borderId="0" pivotButton="0" quotePrefix="0" xfId="0"/>
    <xf numFmtId="168" fontId="5" fillId="3" borderId="0" pivotButton="0" quotePrefix="0" xfId="0"/>
    <xf numFmtId="166" fontId="5" fillId="3" borderId="0" pivotButton="0" quotePrefix="0" xfId="0"/>
    <xf numFmtId="169" fontId="5" fillId="3" borderId="0" pivotButton="0" quotePrefix="0" xfId="0"/>
    <xf numFmtId="0" fontId="6" fillId="0" borderId="0" pivotButton="0" quotePrefix="0" xfId="0"/>
    <xf numFmtId="166" fontId="6" fillId="0" borderId="0" pivotButton="0" quotePrefix="0" xfId="0"/>
    <xf numFmtId="167" fontId="6" fillId="0" borderId="0" pivotButton="0" quotePrefix="0" xfId="0"/>
    <xf numFmtId="0" fontId="1" fillId="2" borderId="0" applyAlignment="1" pivotButton="0" quotePrefix="0" xfId="0">
      <alignment vertical="center"/>
    </xf>
    <xf numFmtId="0" fontId="3" fillId="0" borderId="0" pivotButton="0" quotePrefix="0" xfId="0"/>
    <xf numFmtId="0" fontId="10" fillId="0" borderId="0" pivotButton="0" quotePrefix="0" xfId="0"/>
    <xf numFmtId="0" fontId="0" fillId="6" borderId="0" pivotButton="0" quotePrefix="0" xfId="0"/>
    <xf numFmtId="0" fontId="26" fillId="0" borderId="0" pivotButton="0" quotePrefix="0" xfId="0"/>
    <xf numFmtId="0" fontId="8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167" fontId="5" fillId="3" borderId="0" pivotButton="0" quotePrefix="0" xfId="0"/>
    <xf numFmtId="168" fontId="6" fillId="0" borderId="0" pivotButton="0" quotePrefix="0" xfId="0"/>
    <xf numFmtId="169" fontId="6" fillId="0" borderId="0" pivotButton="0" quotePrefix="0" xfId="0"/>
    <xf numFmtId="165" fontId="6" fillId="0" borderId="0" pivotButton="0" quotePrefix="0" xfId="0"/>
    <xf numFmtId="1" fontId="6" fillId="0" borderId="0" pivotButton="0" quotePrefix="0" xfId="0"/>
    <xf numFmtId="170" fontId="5" fillId="3" borderId="0" pivotButton="0" quotePrefix="0" xfId="0"/>
    <xf numFmtId="1" fontId="5" fillId="3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2" borderId="0" applyAlignment="1" pivotButton="0" quotePrefix="0" xfId="0">
      <alignment horizontal="center"/>
    </xf>
    <xf numFmtId="0" fontId="15" fillId="3" borderId="0" pivotButton="0" quotePrefix="0" xfId="0"/>
    <xf numFmtId="0" fontId="16" fillId="0" borderId="0" pivotButton="0" quotePrefix="0" xfId="0"/>
    <xf numFmtId="165" fontId="0" fillId="0" borderId="0" pivotButton="0" quotePrefix="0" xfId="0"/>
    <xf numFmtId="0" fontId="6" fillId="0" borderId="1" pivotButton="0" quotePrefix="0" xfId="0"/>
    <xf numFmtId="168" fontId="6" fillId="0" borderId="1" pivotButton="0" quotePrefix="0" xfId="0"/>
    <xf numFmtId="166" fontId="6" fillId="0" borderId="1" pivotButton="0" quotePrefix="0" xfId="0"/>
    <xf numFmtId="169" fontId="6" fillId="0" borderId="1" pivotButton="0" quotePrefix="0" xfId="0"/>
    <xf numFmtId="167" fontId="6" fillId="0" borderId="1" pivotButton="0" quotePrefix="0" xfId="0"/>
    <xf numFmtId="0" fontId="18" fillId="0" borderId="0" pivotButton="0" quotePrefix="0" xfId="0"/>
    <xf numFmtId="166" fontId="0" fillId="0" borderId="1" pivotButton="0" quotePrefix="0" xfId="0"/>
    <xf numFmtId="166" fontId="17" fillId="7" borderId="1" pivotButton="0" quotePrefix="0" xfId="0"/>
    <xf numFmtId="17" fontId="6" fillId="0" borderId="1" pivotButton="0" quotePrefix="0" xfId="0"/>
    <xf numFmtId="170" fontId="6" fillId="0" borderId="1" pivotButton="0" quotePrefix="0" xfId="0"/>
    <xf numFmtId="0" fontId="4" fillId="7" borderId="1" pivotButton="0" quotePrefix="0" xfId="0"/>
    <xf numFmtId="170" fontId="4" fillId="7" borderId="1" pivotButton="0" quotePrefix="0" xfId="0"/>
    <xf numFmtId="169" fontId="4" fillId="7" borderId="1" pivotButton="0" quotePrefix="0" xfId="0"/>
    <xf numFmtId="167" fontId="19" fillId="0" borderId="1" pivotButton="0" quotePrefix="0" xfId="0"/>
    <xf numFmtId="170" fontId="0" fillId="0" borderId="1" pivotButton="0" quotePrefix="0" xfId="0"/>
    <xf numFmtId="0" fontId="19" fillId="0" borderId="1" pivotButton="0" quotePrefix="0" xfId="0"/>
    <xf numFmtId="169" fontId="0" fillId="0" borderId="1" pivotButton="0" quotePrefix="0" xfId="0"/>
    <xf numFmtId="0" fontId="5" fillId="3" borderId="1" pivotButton="0" quotePrefix="0" xfId="0"/>
    <xf numFmtId="167" fontId="5" fillId="3" borderId="1" pivotButton="0" quotePrefix="0" xfId="0"/>
    <xf numFmtId="165" fontId="5" fillId="3" borderId="1" pivotButton="0" quotePrefix="0" xfId="0"/>
    <xf numFmtId="165" fontId="6" fillId="3" borderId="1" pivotButton="0" quotePrefix="0" xfId="0"/>
    <xf numFmtId="1" fontId="5" fillId="3" borderId="1" pivotButton="0" quotePrefix="0" xfId="0"/>
    <xf numFmtId="0" fontId="8" fillId="4" borderId="1" pivotButton="0" quotePrefix="0" xfId="0"/>
    <xf numFmtId="166" fontId="5" fillId="3" borderId="1" pivotButton="0" quotePrefix="0" xfId="0"/>
    <xf numFmtId="0" fontId="1" fillId="2" borderId="0" pivotButton="0" quotePrefix="0" xfId="0"/>
    <xf numFmtId="0" fontId="25" fillId="4" borderId="0" pivotButton="0" quotePrefix="0" xfId="0"/>
    <xf numFmtId="0" fontId="4" fillId="0" borderId="0" applyAlignment="1" pivotButton="0" quotePrefix="0" xfId="0">
      <alignment vertical="top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dxfs count="7">
    <dxf>
      <font>
        <b val="1"/>
        <color rgb="00FFFFFF"/>
      </font>
      <fill>
        <patternFill patternType="solid">
          <fgColor rgb="00C62828"/>
          <bgColor rgb="00C62828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7C80"/>
          <bgColor rgb="00FF7C80"/>
        </patternFill>
      </fill>
    </dxf>
    <dxf>
      <fill>
        <patternFill patternType="solid">
          <fgColor rgb="00D9D2E9"/>
          <bgColor rgb="00D9D2E9"/>
        </patternFill>
      </fill>
    </dxf>
    <dxf>
      <fill>
        <patternFill patternType="solid">
          <fgColor rgb="00FFF1C1"/>
          <bgColor rgb="00FFF1C1"/>
        </patternFill>
      </fill>
    </dxf>
    <dxf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vs Purchases (FY)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'Reports'!B4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'Reports'!$A$5:$A$16</f>
            </numRef>
          </cat>
          <val>
            <numRef>
              <f>'Reports'!$B$5:$B$16</f>
            </numRef>
          </val>
        </ser>
        <ser>
          <idx val="1"/>
          <order val="1"/>
          <tx>
            <strRef>
              <f>'Reports'!J4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'Reports'!$A$5:$A$16</f>
            </numRef>
          </cat>
          <val>
            <numRef>
              <f>'Reports'!$J$5:$J$16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Gross &amp; Net Profit (FY)</a:t>
            </a:r>
          </a:p>
        </rich>
      </tx>
    </title>
    <plotArea>
      <lineChart>
        <grouping val="standard"/>
        <ser>
          <idx val="0"/>
          <order val="0"/>
          <tx>
            <strRef>
              <f>'Reports'!D4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'Reports'!$A$5:$A$16</f>
            </numRef>
          </cat>
          <val>
            <numRef>
              <f>'Reports'!$D$5:$D$16</f>
            </numRef>
          </val>
        </ser>
        <ser>
          <idx val="1"/>
          <order val="1"/>
          <tx>
            <strRef>
              <f>'Reports'!I4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'Reports'!$A$5:$A$16</f>
            </numRef>
          </cat>
          <val>
            <numRef>
              <f>'Reports'!$I$5:$I$16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ERP</author>
  </authors>
  <commentList>
    <comment ref="R4" authorId="0" shapeId="0">
      <text>
        <t>Days since the last receipt from this party (or since the last sale if nothing was ever received). OVERDUE when this exceeds Credit Days.</t>
      </text>
    </comment>
  </commentList>
</comments>
</file>

<file path=xl/comments/comment2.xml><?xml version="1.0" encoding="utf-8"?>
<comments xmlns="http://schemas.openxmlformats.org/spreadsheetml/2006/main">
  <authors>
    <author>ERP</author>
  </authors>
  <commentList>
    <comment ref="C7" authorId="0" shapeId="0">
      <text>
        <t>Defaults to the latest invoice. Overwrite with any invoice number to reprint it.</t>
      </text>
    </comment>
  </commentList>
</comments>
</file>

<file path=xl/comments/comment3.xml><?xml version="1.0" encoding="utf-8"?>
<comments xmlns="http://schemas.openxmlformats.org/spreadsheetml/2006/main">
  <authors>
    <author>ERP</author>
  </authors>
  <commentList>
    <comment ref="B10" authorId="0" shapeId="0">
      <text>
        <t>Leave as =TODAY() for live reports, or type a fixed date to view history. This is the ONLY volatile formula in the workbook.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31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31</row>
      <rowOff>0</rowOff>
    </from>
    <ext cx="468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Sales!A1" TargetMode="External" Id="rId1"/><Relationship Type="http://schemas.openxmlformats.org/officeDocument/2006/relationships/hyperlink" Target="#Purchases!A1" TargetMode="External" Id="rId2"/><Relationship Type="http://schemas.openxmlformats.org/officeDocument/2006/relationships/hyperlink" Target="#CashBook!A1" TargetMode="External" Id="rId3"/><Relationship Type="http://schemas.openxmlformats.org/officeDocument/2006/relationships/hyperlink" Target="#Items!A1" TargetMode="External" Id="rId4"/><Relationship Type="http://schemas.openxmlformats.org/officeDocument/2006/relationships/hyperlink" Target="#Parties!A1" TargetMode="External" Id="rId5"/><Relationship Type="http://schemas.openxmlformats.org/officeDocument/2006/relationships/hyperlink" Target="#Invoice!A1" TargetMode="External" Id="rId6"/><Relationship Type="http://schemas.openxmlformats.org/officeDocument/2006/relationships/hyperlink" Target="#Adjustments!A1" TargetMode="External" Id="rId7"/><Relationship Type="http://schemas.openxmlformats.org/officeDocument/2006/relationships/hyperlink" Target="#Reports!A1" TargetMode="External" Id="rId8"/><Relationship Type="http://schemas.openxmlformats.org/officeDocument/2006/relationships/hyperlink" Target="#Settings!A1" TargetMode="External" Id="rId9"/><Relationship Type="http://schemas.openxmlformats.org/officeDocument/2006/relationships/hyperlink" Target="#Guide!A1" TargetMode="External" Id="rId10"/><Relationship Type="http://schemas.openxmlformats.org/officeDocument/2006/relationships/drawing" Target="/xl/drawings/drawing1.xml" Id="rId11"/></Relationships>
</file>

<file path=xl/worksheets/_rels/sheet2.xml.rels><Relationships xmlns="http://schemas.openxmlformats.org/package/2006/relationships"><Relationship Type="http://schemas.openxmlformats.org/officeDocument/2006/relationships/hyperlink" Target="#Dashboard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Dashboard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Dashboard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Dashboard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Dashboard!A1" TargetMode="Externa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7.xml.rels><Relationships xmlns="http://schemas.openxmlformats.org/package/2006/relationships"><Relationship Type="http://schemas.openxmlformats.org/officeDocument/2006/relationships/hyperlink" Target="#Dashboard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Dashboard!A1" TargetMode="Externa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hyperlink" Target="#Dashboard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Dashboard!A1" TargetMode="Externa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1.xml.rels><Relationships xmlns="http://schemas.openxmlformats.org/package/2006/relationships"><Relationship Type="http://schemas.openxmlformats.org/officeDocument/2006/relationships/hyperlink" Target="#Dashboard!A1" TargetMode="External" Id="rId1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N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</cols>
  <sheetData>
    <row r="1" ht="34" customHeight="1">
      <c r="A1" s="1" t="n"/>
      <c r="B1" s="2">
        <f>CoName&amp;"  ·  SmartTrader ERP (C Engine)"</f>
        <v/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1" t="n"/>
      <c r="B2" s="3">
        <f>"Live business cockpit  ·  Period: "&amp;TEXT(D4,"dd-mmm-yy")&amp;" to "&amp;TEXT(G4,"dd-mmm-yy")</f>
        <v/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4">
      <c r="B4" s="4" t="inlineStr">
        <is>
          <t>From</t>
        </is>
      </c>
      <c r="D4" s="5">
        <f>FYStart</f>
        <v/>
      </c>
      <c r="E4" s="4" t="inlineStr">
        <is>
          <t>To</t>
        </is>
      </c>
      <c r="G4" s="5">
        <f>AsOf</f>
        <v/>
      </c>
      <c r="H4" s="6" t="inlineStr">
        <is>
          <t>← overwrite these dates to analyse any period</t>
        </is>
      </c>
      <c r="K4" s="7">
        <f>IFERROR("✔ "&amp;_xll.ST_VERSION(),"⚠ C engine not loaded - see Guide")</f>
        <v/>
      </c>
    </row>
    <row r="6" ht="24" customHeight="1">
      <c r="B6" s="8" t="inlineStr">
        <is>
          <t>➕ New Sale</t>
        </is>
      </c>
      <c r="C6" s="8" t="inlineStr">
        <is>
          <t>🛒 Purchase</t>
        </is>
      </c>
      <c r="D6" s="8" t="inlineStr">
        <is>
          <t>💰 Cash Book</t>
        </is>
      </c>
      <c r="E6" s="8" t="inlineStr">
        <is>
          <t>📦 Items</t>
        </is>
      </c>
      <c r="F6" s="8" t="inlineStr">
        <is>
          <t>👥 Parties</t>
        </is>
      </c>
      <c r="G6" s="8" t="inlineStr">
        <is>
          <t>🧾 Invoice</t>
        </is>
      </c>
      <c r="H6" s="8" t="inlineStr">
        <is>
          <t>🔧 Adjust</t>
        </is>
      </c>
      <c r="I6" s="8" t="inlineStr">
        <is>
          <t>📊 Reports</t>
        </is>
      </c>
      <c r="J6" s="8" t="inlineStr">
        <is>
          <t>⚙ Settings</t>
        </is>
      </c>
      <c r="K6" s="8" t="inlineStr">
        <is>
          <t>❓ Guide</t>
        </is>
      </c>
    </row>
    <row r="8">
      <c r="B8" s="9" t="inlineStr">
        <is>
          <t>SALES (excl. GST)</t>
        </is>
      </c>
      <c r="C8" s="10" t="n"/>
      <c r="D8" s="11" t="inlineStr">
        <is>
          <t>GROSS PROFIT</t>
        </is>
      </c>
      <c r="E8" s="12" t="n"/>
      <c r="F8" s="13" t="inlineStr">
        <is>
          <t>NET PROFIT</t>
        </is>
      </c>
      <c r="G8" s="14" t="n"/>
      <c r="H8" s="15" t="inlineStr">
        <is>
          <t>PURCHASES (excl. GST)</t>
        </is>
      </c>
      <c r="I8" s="16" t="n"/>
      <c r="J8" s="17" t="inlineStr">
        <is>
          <t>EXPENSES</t>
        </is>
      </c>
      <c r="K8" s="18" t="n"/>
    </row>
    <row r="9" ht="30" customHeight="1">
      <c r="B9" s="19">
        <f>SUMIFS(Sales!$L$5:$L$20004,Sales!$A$5:$A$20004,"&gt;="&amp;DFrom,Sales!$A$5:$A$20004,"&lt;="&amp;DTo)</f>
        <v/>
      </c>
      <c r="C9" s="10" t="n"/>
      <c r="D9" s="20">
        <f>SUMIFS(Sales!$S$5:$S$20004,Sales!$A$5:$A$20004,"&gt;="&amp;DFrom,Sales!$A$5:$A$20004,"&lt;="&amp;DTo)</f>
        <v/>
      </c>
      <c r="E9" s="12" t="n"/>
      <c r="F9" s="21">
        <f>D9-SUMIFS(CashBook!$G$5:$G$20004,CashBook!$C$5:$C$20004,"Expense",CashBook!$A$5:$A$20004,"&gt;="&amp;DFrom,CashBook!$A$5:$A$20004,"&lt;="&amp;DTo)+SUMIFS(CashBook!$G$5:$G$20004,CashBook!$C$5:$C$20004,"Other Income",CashBook!$A$5:$A$20004,"&gt;="&amp;DFrom,CashBook!$A$5:$A$20004,"&lt;="&amp;DTo)+SUMIFS(Adjustments!$G$5:$G$2004,Adjustments!$A$5:$A$2004,"&gt;="&amp;DFrom,Adjustments!$A$5:$A$2004,"&lt;="&amp;DTo)</f>
        <v/>
      </c>
      <c r="G9" s="14" t="n"/>
      <c r="H9" s="22">
        <f>SUMIFS(Purchases!$K$5:$K$20004,Purchases!$A$5:$A$20004,"&gt;="&amp;DFrom,Purchases!$A$5:$A$20004,"&lt;="&amp;DTo)</f>
        <v/>
      </c>
      <c r="I9" s="16" t="n"/>
      <c r="J9" s="23">
        <f>SUMIFS(CashBook!$G$5:$G$20004,CashBook!$C$5:$C$20004,"Expense",CashBook!$A$5:$A$20004,"&gt;="&amp;DFrom,CashBook!$A$5:$A$20004,"&lt;="&amp;DTo)</f>
        <v/>
      </c>
      <c r="K9" s="18" t="n"/>
    </row>
    <row r="11">
      <c r="B11" s="24" t="inlineStr">
        <is>
          <t>GP MARGIN</t>
        </is>
      </c>
      <c r="C11" s="25" t="n"/>
      <c r="D11" s="26" t="inlineStr">
        <is>
          <t>RECEIVABLES (owed to you)</t>
        </is>
      </c>
      <c r="E11" s="27" t="n"/>
      <c r="F11" s="28" t="inlineStr">
        <is>
          <t>PAYABLES (you owe)</t>
        </is>
      </c>
      <c r="G11" s="29" t="n"/>
      <c r="H11" s="30" t="inlineStr">
        <is>
          <t>STOCK VALUE (at cost)</t>
        </is>
      </c>
      <c r="I11" s="31" t="n"/>
      <c r="J11" s="32" t="inlineStr">
        <is>
          <t>NET GST PAYABLE</t>
        </is>
      </c>
      <c r="K11" s="33" t="n"/>
    </row>
    <row r="12" ht="30" customHeight="1">
      <c r="B12" s="34">
        <f>IF(B9=0,0,D9/B9)</f>
        <v/>
      </c>
      <c r="C12" s="25" t="n"/>
      <c r="D12" s="35">
        <f>SUMIF(Parties!$N$5:$N$1004,"&gt;0")</f>
        <v/>
      </c>
      <c r="E12" s="27" t="n"/>
      <c r="F12" s="36">
        <f>-SUMIF(Parties!$N$5:$N$1004,"&lt;0")</f>
        <v/>
      </c>
      <c r="G12" s="29" t="n"/>
      <c r="H12" s="37">
        <f>SUM(Items!$Q$5:$Q$2004)</f>
        <v/>
      </c>
      <c r="I12" s="31" t="n"/>
      <c r="J12" s="38">
        <f>SUMIFS(Sales!$N$5:$N$20004,Sales!$A$5:$A$20004,"&gt;="&amp;DFrom,Sales!$A$5:$A$20004,"&lt;="&amp;DTo)+SUMIFS(Sales!$O$5:$O$20004,Sales!$A$5:$A$20004,"&gt;="&amp;DFrom,Sales!$A$5:$A$20004,"&lt;="&amp;DTo)+SUMIFS(Sales!$P$5:$P$20004,Sales!$A$5:$A$20004,"&gt;="&amp;DFrom,Sales!$A$5:$A$20004,"&lt;="&amp;DTo)-SUMIFS(Purchases!$M$5:$M$20004,Purchases!$A$5:$A$20004,"&gt;="&amp;DFrom,Purchases!$A$5:$A$20004,"&lt;="&amp;DTo)-SUMIFS(Purchases!$N$5:$N$20004,Purchases!$A$5:$A$20004,"&gt;="&amp;DFrom,Purchases!$A$5:$A$20004,"&lt;="&amp;DTo)-SUMIFS(Purchases!$O$5:$O$20004,Purchases!$A$5:$A$20004,"&gt;="&amp;DFrom,Purchases!$A$5:$A$20004,"&lt;="&amp;DTo)</f>
        <v/>
      </c>
      <c r="K12" s="33" t="n"/>
    </row>
    <row r="14">
      <c r="B14" s="39" t="inlineStr">
        <is>
          <t>ITEMS TO REORDER</t>
        </is>
      </c>
      <c r="C14" s="40" t="n"/>
      <c r="D14" s="41" t="inlineStr">
        <is>
          <t>DEAD-STOCK ITEMS</t>
        </is>
      </c>
      <c r="E14" s="42" t="n"/>
      <c r="F14" s="43" t="inlineStr">
        <is>
          <t>OVERDUE CUSTOMERS</t>
        </is>
      </c>
      <c r="G14" s="44" t="n"/>
      <c r="H14" s="45" t="inlineStr">
        <is>
          <t>PENDING DELIVERIES (lines)</t>
        </is>
      </c>
      <c r="I14" s="46" t="n"/>
      <c r="J14" s="47" t="inlineStr">
        <is>
          <t>NEXT INVOICE No.</t>
        </is>
      </c>
      <c r="K14" s="48" t="n"/>
    </row>
    <row r="15" ht="30" customHeight="1">
      <c r="B15" s="49">
        <f>COUNTIF(Items!$R$5:$R$2004,"REORDER")+COUNTIF(Items!$R$5:$R$2004,"OUT OF STOCK")+COUNTIF(Items!$R$5:$R$2004,"NEGATIVE")</f>
        <v/>
      </c>
      <c r="C15" s="40" t="n"/>
      <c r="D15" s="50">
        <f>COUNTIF(Items!$R$5:$R$2004,"DEAD STOCK")</f>
        <v/>
      </c>
      <c r="E15" s="42" t="n"/>
      <c r="F15" s="51">
        <f>COUNTIF(Parties!$S$5:$S$1004,"OVERDUE")+COUNTIF(Parties!$S$5:$S$1004,"OVER LIMIT")</f>
        <v/>
      </c>
      <c r="G15" s="44" t="n"/>
      <c r="H15" s="52">
        <f>COUNTIFS(Sales!$I$5:$I$20004,"Pending")+COUNTIFS(Sales!$I$5:$I$20004,"Packed")</f>
        <v/>
      </c>
      <c r="I15" s="46" t="n"/>
      <c r="J15" s="53">
        <f>InvPrefix&amp;TEXT(MAX(Sales!$W$5:$W$20004)+1,"0000")</f>
        <v/>
      </c>
      <c r="K15" s="48" t="n"/>
    </row>
    <row r="18">
      <c r="B18" s="54" t="inlineStr">
        <is>
          <t>CASH &amp; BANK BALANCES (as of 'To' date)</t>
        </is>
      </c>
      <c r="I18" s="54" t="inlineStr">
        <is>
          <t>TOP 10 ITEMS BY SALES (all time)</t>
        </is>
      </c>
    </row>
    <row r="19">
      <c r="B19" s="55" t="inlineStr">
        <is>
          <t>Account</t>
        </is>
      </c>
      <c r="C19" s="56" t="n"/>
      <c r="D19" s="55" t="inlineStr">
        <is>
          <t>Opening</t>
        </is>
      </c>
      <c r="E19" s="55" t="inlineStr">
        <is>
          <t>In</t>
        </is>
      </c>
      <c r="F19" s="55" t="inlineStr">
        <is>
          <t>Out</t>
        </is>
      </c>
      <c r="G19" s="55" t="inlineStr">
        <is>
          <t>Balance</t>
        </is>
      </c>
      <c r="I19" s="55" t="inlineStr">
        <is>
          <t>#</t>
        </is>
      </c>
      <c r="J19" s="55" t="inlineStr">
        <is>
          <t>Item</t>
        </is>
      </c>
      <c r="K19" s="55" t="inlineStr"/>
      <c r="L19" s="55" t="inlineStr">
        <is>
          <t>Sales (₹)</t>
        </is>
      </c>
      <c r="M19" s="55" t="inlineStr">
        <is>
          <t>Stock</t>
        </is>
      </c>
      <c r="N19" s="55" t="inlineStr">
        <is>
          <t>Status</t>
        </is>
      </c>
    </row>
    <row r="20">
      <c r="B20" s="57">
        <f>IF(Settings!$A$18="","",Settings!$A$18)</f>
        <v/>
      </c>
      <c r="D20" s="58">
        <f>IF(B20="","",N(Settings!$B$18))</f>
        <v/>
      </c>
      <c r="E20" s="58">
        <f>IF(B20="","",SUMIFS(CashBook!$I$5:$I$20004,CashBook!$F$5:$F$20004,B20,CashBook!$A$5:$A$20004,"&lt;="&amp;DTo)+SUMIFS(Sales!$X$5:$X$20004,Sales!$H$5:$H$20004,B20,Sales!$A$5:$A$20004,"&lt;="&amp;DTo))</f>
        <v/>
      </c>
      <c r="F20" s="58">
        <f>IF(B20="","",SUMIFS(CashBook!$J$5:$J$20004,CashBook!$F$5:$F$20004,B20,CashBook!$A$5:$A$20004,"&lt;="&amp;DTo)+SUMIFS(Purchases!$S$5:$S$20004,Purchases!$H$5:$H$20004,B20,Purchases!$A$5:$A$20004,"&lt;="&amp;DTo))</f>
        <v/>
      </c>
      <c r="G20" s="59">
        <f>IF(B20="","",D20+E20-F20)</f>
        <v/>
      </c>
      <c r="I20" s="60" t="n">
        <v>1</v>
      </c>
      <c r="J20" s="60">
        <f>IFERROR(IF(INDEX(Items!$U$5:$U$2004,MATCH(LARGE(Items!$Z$5:$Z$2004,1),Items!$Z$5:$Z$2004,0))=0,"",INDEX(Items!$A$5:$A$2004,MATCH(LARGE(Items!$Z$5:$Z$2004,1),Items!$Z$5:$Z$2004,0))),"")</f>
        <v/>
      </c>
      <c r="K20" s="60" t="n"/>
      <c r="L20" s="61">
        <f>IF(J20="","",INDEX(Items!$U$5:$U$2004,MATCH(LARGE(Items!$Z$5:$Z$2004,1),Items!$Z$5:$Z$2004,0)))</f>
        <v/>
      </c>
      <c r="M20" s="62">
        <f>IF(J20="","",INDEX(Items!$O$5:$O$2004,MATCH(LARGE(Items!$Z$5:$Z$2004,1),Items!$Z$5:$Z$2004,0)))</f>
        <v/>
      </c>
      <c r="N20" s="60">
        <f>IF(J20="","",INDEX(Items!$R$5:$R$2004,MATCH(LARGE(Items!$Z$5:$Z$2004,1),Items!$Z$5:$Z$2004,0)))</f>
        <v/>
      </c>
    </row>
    <row r="21">
      <c r="B21" s="57">
        <f>IF(Settings!$A$19="","",Settings!$A$19)</f>
        <v/>
      </c>
      <c r="D21" s="58">
        <f>IF(B21="","",N(Settings!$B$19))</f>
        <v/>
      </c>
      <c r="E21" s="58">
        <f>IF(B21="","",SUMIFS(CashBook!$I$5:$I$20004,CashBook!$F$5:$F$20004,B21,CashBook!$A$5:$A$20004,"&lt;="&amp;DTo)+SUMIFS(Sales!$X$5:$X$20004,Sales!$H$5:$H$20004,B21,Sales!$A$5:$A$20004,"&lt;="&amp;DTo))</f>
        <v/>
      </c>
      <c r="F21" s="58">
        <f>IF(B21="","",SUMIFS(CashBook!$J$5:$J$20004,CashBook!$F$5:$F$20004,B21,CashBook!$A$5:$A$20004,"&lt;="&amp;DTo)+SUMIFS(Purchases!$S$5:$S$20004,Purchases!$H$5:$H$20004,B21,Purchases!$A$5:$A$20004,"&lt;="&amp;DTo))</f>
        <v/>
      </c>
      <c r="G21" s="59">
        <f>IF(B21="","",D21+E21-F21)</f>
        <v/>
      </c>
      <c r="I21" s="60" t="n">
        <v>2</v>
      </c>
      <c r="J21" s="60">
        <f>IFERROR(IF(INDEX(Items!$U$5:$U$2004,MATCH(LARGE(Items!$Z$5:$Z$2004,2),Items!$Z$5:$Z$2004,0))=0,"",INDEX(Items!$A$5:$A$2004,MATCH(LARGE(Items!$Z$5:$Z$2004,2),Items!$Z$5:$Z$2004,0))),"")</f>
        <v/>
      </c>
      <c r="K21" s="60" t="n"/>
      <c r="L21" s="61">
        <f>IF(J21="","",INDEX(Items!$U$5:$U$2004,MATCH(LARGE(Items!$Z$5:$Z$2004,2),Items!$Z$5:$Z$2004,0)))</f>
        <v/>
      </c>
      <c r="M21" s="62">
        <f>IF(J21="","",INDEX(Items!$O$5:$O$2004,MATCH(LARGE(Items!$Z$5:$Z$2004,2),Items!$Z$5:$Z$2004,0)))</f>
        <v/>
      </c>
      <c r="N21" s="60">
        <f>IF(J21="","",INDEX(Items!$R$5:$R$2004,MATCH(LARGE(Items!$Z$5:$Z$2004,2),Items!$Z$5:$Z$2004,0)))</f>
        <v/>
      </c>
    </row>
    <row r="22">
      <c r="B22" s="57">
        <f>IF(Settings!$A$20="","",Settings!$A$20)</f>
        <v/>
      </c>
      <c r="D22" s="58">
        <f>IF(B22="","",N(Settings!$B$20))</f>
        <v/>
      </c>
      <c r="E22" s="58">
        <f>IF(B22="","",SUMIFS(CashBook!$I$5:$I$20004,CashBook!$F$5:$F$20004,B22,CashBook!$A$5:$A$20004,"&lt;="&amp;DTo)+SUMIFS(Sales!$X$5:$X$20004,Sales!$H$5:$H$20004,B22,Sales!$A$5:$A$20004,"&lt;="&amp;DTo))</f>
        <v/>
      </c>
      <c r="F22" s="58">
        <f>IF(B22="","",SUMIFS(CashBook!$J$5:$J$20004,CashBook!$F$5:$F$20004,B22,CashBook!$A$5:$A$20004,"&lt;="&amp;DTo)+SUMIFS(Purchases!$S$5:$S$20004,Purchases!$H$5:$H$20004,B22,Purchases!$A$5:$A$20004,"&lt;="&amp;DTo))</f>
        <v/>
      </c>
      <c r="G22" s="59">
        <f>IF(B22="","",D22+E22-F22)</f>
        <v/>
      </c>
      <c r="I22" s="60" t="n">
        <v>3</v>
      </c>
      <c r="J22" s="60">
        <f>IFERROR(IF(INDEX(Items!$U$5:$U$2004,MATCH(LARGE(Items!$Z$5:$Z$2004,3),Items!$Z$5:$Z$2004,0))=0,"",INDEX(Items!$A$5:$A$2004,MATCH(LARGE(Items!$Z$5:$Z$2004,3),Items!$Z$5:$Z$2004,0))),"")</f>
        <v/>
      </c>
      <c r="K22" s="60" t="n"/>
      <c r="L22" s="61">
        <f>IF(J22="","",INDEX(Items!$U$5:$U$2004,MATCH(LARGE(Items!$Z$5:$Z$2004,3),Items!$Z$5:$Z$2004,0)))</f>
        <v/>
      </c>
      <c r="M22" s="62">
        <f>IF(J22="","",INDEX(Items!$O$5:$O$2004,MATCH(LARGE(Items!$Z$5:$Z$2004,3),Items!$Z$5:$Z$2004,0)))</f>
        <v/>
      </c>
      <c r="N22" s="60">
        <f>IF(J22="","",INDEX(Items!$R$5:$R$2004,MATCH(LARGE(Items!$Z$5:$Z$2004,3),Items!$Z$5:$Z$2004,0)))</f>
        <v/>
      </c>
    </row>
    <row r="23">
      <c r="B23" s="57">
        <f>IF(Settings!$A$21="","",Settings!$A$21)</f>
        <v/>
      </c>
      <c r="D23" s="58">
        <f>IF(B23="","",N(Settings!$B$21))</f>
        <v/>
      </c>
      <c r="E23" s="58">
        <f>IF(B23="","",SUMIFS(CashBook!$I$5:$I$20004,CashBook!$F$5:$F$20004,B23,CashBook!$A$5:$A$20004,"&lt;="&amp;DTo)+SUMIFS(Sales!$X$5:$X$20004,Sales!$H$5:$H$20004,B23,Sales!$A$5:$A$20004,"&lt;="&amp;DTo))</f>
        <v/>
      </c>
      <c r="F23" s="58">
        <f>IF(B23="","",SUMIFS(CashBook!$J$5:$J$20004,CashBook!$F$5:$F$20004,B23,CashBook!$A$5:$A$20004,"&lt;="&amp;DTo)+SUMIFS(Purchases!$S$5:$S$20004,Purchases!$H$5:$H$20004,B23,Purchases!$A$5:$A$20004,"&lt;="&amp;DTo))</f>
        <v/>
      </c>
      <c r="G23" s="59">
        <f>IF(B23="","",D23+E23-F23)</f>
        <v/>
      </c>
      <c r="I23" s="60" t="n">
        <v>4</v>
      </c>
      <c r="J23" s="60">
        <f>IFERROR(IF(INDEX(Items!$U$5:$U$2004,MATCH(LARGE(Items!$Z$5:$Z$2004,4),Items!$Z$5:$Z$2004,0))=0,"",INDEX(Items!$A$5:$A$2004,MATCH(LARGE(Items!$Z$5:$Z$2004,4),Items!$Z$5:$Z$2004,0))),"")</f>
        <v/>
      </c>
      <c r="K23" s="60" t="n"/>
      <c r="L23" s="61">
        <f>IF(J23="","",INDEX(Items!$U$5:$U$2004,MATCH(LARGE(Items!$Z$5:$Z$2004,4),Items!$Z$5:$Z$2004,0)))</f>
        <v/>
      </c>
      <c r="M23" s="62">
        <f>IF(J23="","",INDEX(Items!$O$5:$O$2004,MATCH(LARGE(Items!$Z$5:$Z$2004,4),Items!$Z$5:$Z$2004,0)))</f>
        <v/>
      </c>
      <c r="N23" s="60">
        <f>IF(J23="","",INDEX(Items!$R$5:$R$2004,MATCH(LARGE(Items!$Z$5:$Z$2004,4),Items!$Z$5:$Z$2004,0)))</f>
        <v/>
      </c>
    </row>
    <row r="24">
      <c r="B24" s="4" t="inlineStr">
        <is>
          <t>TOTAL LIQUIDITY</t>
        </is>
      </c>
      <c r="G24" s="63">
        <f>SUM(G20:G23)</f>
        <v/>
      </c>
      <c r="I24" s="60" t="n">
        <v>5</v>
      </c>
      <c r="J24" s="60">
        <f>IFERROR(IF(INDEX(Items!$U$5:$U$2004,MATCH(LARGE(Items!$Z$5:$Z$2004,5),Items!$Z$5:$Z$2004,0))=0,"",INDEX(Items!$A$5:$A$2004,MATCH(LARGE(Items!$Z$5:$Z$2004,5),Items!$Z$5:$Z$2004,0))),"")</f>
        <v/>
      </c>
      <c r="K24" s="60" t="n"/>
      <c r="L24" s="61">
        <f>IF(J24="","",INDEX(Items!$U$5:$U$2004,MATCH(LARGE(Items!$Z$5:$Z$2004,5),Items!$Z$5:$Z$2004,0)))</f>
        <v/>
      </c>
      <c r="M24" s="62">
        <f>IF(J24="","",INDEX(Items!$O$5:$O$2004,MATCH(LARGE(Items!$Z$5:$Z$2004,5),Items!$Z$5:$Z$2004,0)))</f>
        <v/>
      </c>
      <c r="N24" s="60">
        <f>IF(J24="","",INDEX(Items!$R$5:$R$2004,MATCH(LARGE(Items!$Z$5:$Z$2004,5),Items!$Z$5:$Z$2004,0)))</f>
        <v/>
      </c>
    </row>
    <row r="25">
      <c r="I25" s="60" t="n">
        <v>6</v>
      </c>
      <c r="J25" s="60">
        <f>IFERROR(IF(INDEX(Items!$U$5:$U$2004,MATCH(LARGE(Items!$Z$5:$Z$2004,6),Items!$Z$5:$Z$2004,0))=0,"",INDEX(Items!$A$5:$A$2004,MATCH(LARGE(Items!$Z$5:$Z$2004,6),Items!$Z$5:$Z$2004,0))),"")</f>
        <v/>
      </c>
      <c r="K25" s="60" t="n"/>
      <c r="L25" s="61">
        <f>IF(J25="","",INDEX(Items!$U$5:$U$2004,MATCH(LARGE(Items!$Z$5:$Z$2004,6),Items!$Z$5:$Z$2004,0)))</f>
        <v/>
      </c>
      <c r="M25" s="62">
        <f>IF(J25="","",INDEX(Items!$O$5:$O$2004,MATCH(LARGE(Items!$Z$5:$Z$2004,6),Items!$Z$5:$Z$2004,0)))</f>
        <v/>
      </c>
      <c r="N25" s="60">
        <f>IF(J25="","",INDEX(Items!$R$5:$R$2004,MATCH(LARGE(Items!$Z$5:$Z$2004,6),Items!$Z$5:$Z$2004,0)))</f>
        <v/>
      </c>
    </row>
    <row r="26">
      <c r="I26" s="60" t="n">
        <v>7</v>
      </c>
      <c r="J26" s="60">
        <f>IFERROR(IF(INDEX(Items!$U$5:$U$2004,MATCH(LARGE(Items!$Z$5:$Z$2004,7),Items!$Z$5:$Z$2004,0))=0,"",INDEX(Items!$A$5:$A$2004,MATCH(LARGE(Items!$Z$5:$Z$2004,7),Items!$Z$5:$Z$2004,0))),"")</f>
        <v/>
      </c>
      <c r="K26" s="60" t="n"/>
      <c r="L26" s="61">
        <f>IF(J26="","",INDEX(Items!$U$5:$U$2004,MATCH(LARGE(Items!$Z$5:$Z$2004,7),Items!$Z$5:$Z$2004,0)))</f>
        <v/>
      </c>
      <c r="M26" s="62">
        <f>IF(J26="","",INDEX(Items!$O$5:$O$2004,MATCH(LARGE(Items!$Z$5:$Z$2004,7),Items!$Z$5:$Z$2004,0)))</f>
        <v/>
      </c>
      <c r="N26" s="60">
        <f>IF(J26="","",INDEX(Items!$R$5:$R$2004,MATCH(LARGE(Items!$Z$5:$Z$2004,7),Items!$Z$5:$Z$2004,0)))</f>
        <v/>
      </c>
    </row>
    <row r="27">
      <c r="I27" s="60" t="n">
        <v>8</v>
      </c>
      <c r="J27" s="60">
        <f>IFERROR(IF(INDEX(Items!$U$5:$U$2004,MATCH(LARGE(Items!$Z$5:$Z$2004,8),Items!$Z$5:$Z$2004,0))=0,"",INDEX(Items!$A$5:$A$2004,MATCH(LARGE(Items!$Z$5:$Z$2004,8),Items!$Z$5:$Z$2004,0))),"")</f>
        <v/>
      </c>
      <c r="K27" s="60" t="n"/>
      <c r="L27" s="61">
        <f>IF(J27="","",INDEX(Items!$U$5:$U$2004,MATCH(LARGE(Items!$Z$5:$Z$2004,8),Items!$Z$5:$Z$2004,0)))</f>
        <v/>
      </c>
      <c r="M27" s="62">
        <f>IF(J27="","",INDEX(Items!$O$5:$O$2004,MATCH(LARGE(Items!$Z$5:$Z$2004,8),Items!$Z$5:$Z$2004,0)))</f>
        <v/>
      </c>
      <c r="N27" s="60">
        <f>IF(J27="","",INDEX(Items!$R$5:$R$2004,MATCH(LARGE(Items!$Z$5:$Z$2004,8),Items!$Z$5:$Z$2004,0)))</f>
        <v/>
      </c>
    </row>
    <row r="28">
      <c r="I28" s="60" t="n">
        <v>9</v>
      </c>
      <c r="J28" s="60">
        <f>IFERROR(IF(INDEX(Items!$U$5:$U$2004,MATCH(LARGE(Items!$Z$5:$Z$2004,9),Items!$Z$5:$Z$2004,0))=0,"",INDEX(Items!$A$5:$A$2004,MATCH(LARGE(Items!$Z$5:$Z$2004,9),Items!$Z$5:$Z$2004,0))),"")</f>
        <v/>
      </c>
      <c r="K28" s="60" t="n"/>
      <c r="L28" s="61">
        <f>IF(J28="","",INDEX(Items!$U$5:$U$2004,MATCH(LARGE(Items!$Z$5:$Z$2004,9),Items!$Z$5:$Z$2004,0)))</f>
        <v/>
      </c>
      <c r="M28" s="62">
        <f>IF(J28="","",INDEX(Items!$O$5:$O$2004,MATCH(LARGE(Items!$Z$5:$Z$2004,9),Items!$Z$5:$Z$2004,0)))</f>
        <v/>
      </c>
      <c r="N28" s="60">
        <f>IF(J28="","",INDEX(Items!$R$5:$R$2004,MATCH(LARGE(Items!$Z$5:$Z$2004,9),Items!$Z$5:$Z$2004,0)))</f>
        <v/>
      </c>
    </row>
    <row r="29">
      <c r="I29" s="60" t="n">
        <v>10</v>
      </c>
      <c r="J29" s="60">
        <f>IFERROR(IF(INDEX(Items!$U$5:$U$2004,MATCH(LARGE(Items!$Z$5:$Z$2004,10),Items!$Z$5:$Z$2004,0))=0,"",INDEX(Items!$A$5:$A$2004,MATCH(LARGE(Items!$Z$5:$Z$2004,10),Items!$Z$5:$Z$2004,0))),"")</f>
        <v/>
      </c>
      <c r="K29" s="60" t="n"/>
      <c r="L29" s="61">
        <f>IF(J29="","",INDEX(Items!$U$5:$U$2004,MATCH(LARGE(Items!$Z$5:$Z$2004,10),Items!$Z$5:$Z$2004,0)))</f>
        <v/>
      </c>
      <c r="M29" s="62">
        <f>IF(J29="","",INDEX(Items!$O$5:$O$2004,MATCH(LARGE(Items!$Z$5:$Z$2004,10),Items!$Z$5:$Z$2004,0)))</f>
        <v/>
      </c>
      <c r="N29" s="60">
        <f>IF(J29="","",INDEX(Items!$R$5:$R$2004,MATCH(LARGE(Items!$Z$5:$Z$2004,10),Items!$Z$5:$Z$2004,0)))</f>
        <v/>
      </c>
    </row>
  </sheetData>
  <mergeCells count="43">
    <mergeCell ref="F11:G11"/>
    <mergeCell ref="J29:K29"/>
    <mergeCell ref="J14:K14"/>
    <mergeCell ref="J28:K28"/>
    <mergeCell ref="H9:I9"/>
    <mergeCell ref="B12:C12"/>
    <mergeCell ref="J9:K9"/>
    <mergeCell ref="K4:N4"/>
    <mergeCell ref="F12:G12"/>
    <mergeCell ref="J23:K23"/>
    <mergeCell ref="B11:C11"/>
    <mergeCell ref="F15:G15"/>
    <mergeCell ref="J24:K24"/>
    <mergeCell ref="D11:E11"/>
    <mergeCell ref="J15:K15"/>
    <mergeCell ref="B14:C14"/>
    <mergeCell ref="J27:K27"/>
    <mergeCell ref="B8:C8"/>
    <mergeCell ref="J26:K26"/>
    <mergeCell ref="F8:G8"/>
    <mergeCell ref="H11:I11"/>
    <mergeCell ref="J11:K11"/>
    <mergeCell ref="J20:K20"/>
    <mergeCell ref="J25:K25"/>
    <mergeCell ref="B9:C9"/>
    <mergeCell ref="J22:K22"/>
    <mergeCell ref="D9:E9"/>
    <mergeCell ref="B2:N2"/>
    <mergeCell ref="H14:I14"/>
    <mergeCell ref="F9:G9"/>
    <mergeCell ref="D12:E12"/>
    <mergeCell ref="D8:E8"/>
    <mergeCell ref="H12:I12"/>
    <mergeCell ref="J21:K21"/>
    <mergeCell ref="J12:K12"/>
    <mergeCell ref="B15:C15"/>
    <mergeCell ref="B1:N1"/>
    <mergeCell ref="D15:E15"/>
    <mergeCell ref="H15:I15"/>
    <mergeCell ref="D14:E14"/>
    <mergeCell ref="F14:G14"/>
    <mergeCell ref="H8:I8"/>
    <mergeCell ref="J8:K8"/>
  </mergeCells>
  <conditionalFormatting sqref="K4">
    <cfRule type="expression" priority="1" dxfId="0">
      <formula>LEFT($K$4,1)="⚠"</formula>
    </cfRule>
  </conditionalFormatting>
  <conditionalFormatting sqref="N20:N29">
    <cfRule type="cellIs" priority="2" operator="equal" dxfId="1">
      <formula>"OUT OF STOCK"</formula>
    </cfRule>
    <cfRule type="cellIs" priority="3" operator="equal" dxfId="2">
      <formula>"REORDER"</formula>
    </cfRule>
    <cfRule type="cellIs" priority="4" operator="equal" dxfId="3">
      <formula>"NEGATIVE"</formula>
    </cfRule>
    <cfRule type="cellIs" priority="5" operator="equal" dxfId="4">
      <formula>"DEAD STOCK"</formula>
    </cfRule>
  </conditionalFormatting>
  <hyperlinks>
    <hyperlink xmlns:r="http://schemas.openxmlformats.org/officeDocument/2006/relationships" ref="B6" r:id="rId1"/>
    <hyperlink xmlns:r="http://schemas.openxmlformats.org/officeDocument/2006/relationships" ref="C6" r:id="rId2"/>
    <hyperlink xmlns:r="http://schemas.openxmlformats.org/officeDocument/2006/relationships" ref="D6" r:id="rId3"/>
    <hyperlink xmlns:r="http://schemas.openxmlformats.org/officeDocument/2006/relationships" ref="E6" r:id="rId4"/>
    <hyperlink xmlns:r="http://schemas.openxmlformats.org/officeDocument/2006/relationships" ref="F6" r:id="rId5"/>
    <hyperlink xmlns:r="http://schemas.openxmlformats.org/officeDocument/2006/relationships" ref="G6" r:id="rId6"/>
    <hyperlink xmlns:r="http://schemas.openxmlformats.org/officeDocument/2006/relationships" ref="H6" r:id="rId7"/>
    <hyperlink xmlns:r="http://schemas.openxmlformats.org/officeDocument/2006/relationships" ref="I6" r:id="rId8"/>
    <hyperlink xmlns:r="http://schemas.openxmlformats.org/officeDocument/2006/relationships" ref="J6" r:id="rId9"/>
    <hyperlink xmlns:r="http://schemas.openxmlformats.org/officeDocument/2006/relationships" ref="K6" r:id="rId10"/>
  </hyperlinks>
  <pageMargins left="0.75" right="0.75" top="1" bottom="1" header="0.5" footer="0.5"/>
  <drawing xmlns:r="http://schemas.openxmlformats.org/officeDocument/2006/relationships" r:id="rId11"/>
</worksheet>
</file>

<file path=xl/worksheets/sheet2.xml><?xml version="1.0" encoding="utf-8"?>
<worksheet xmlns="http://schemas.openxmlformats.org/spreadsheetml/2006/main">
  <sheetPr>
    <tabColor rgb="000E7C86"/>
    <outlinePr summaryBelow="1" summaryRight="1"/>
    <pageSetUpPr/>
  </sheetPr>
  <dimension ref="A1:Z94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style="64" min="1" max="1"/>
    <col width="11" customWidth="1" style="65" min="2" max="2"/>
    <col width="22" customWidth="1" style="65" min="3" max="3"/>
    <col width="24" customWidth="1" style="65" min="4" max="4"/>
    <col width="8" customWidth="1" style="66" min="5" max="5"/>
    <col width="10" customWidth="1" style="67" min="6" max="6"/>
    <col width="7" customWidth="1" style="68" min="7" max="7"/>
    <col width="10" customWidth="1" style="65" min="8" max="8"/>
    <col width="10" customWidth="1" style="65" min="9" max="9"/>
    <col width="6" customWidth="1" style="69" min="10" max="10"/>
    <col width="10" customWidth="1" style="70" min="11" max="11"/>
    <col width="12" customWidth="1" style="70" min="12" max="12"/>
    <col width="7" customWidth="1" style="71" min="13" max="13"/>
    <col width="10" customWidth="1" style="70" min="14" max="14"/>
    <col width="10" customWidth="1" style="70" min="15" max="15"/>
    <col width="10" customWidth="1" style="70" min="16" max="16"/>
    <col width="12" customWidth="1" style="70" min="17" max="17"/>
    <col width="11" customWidth="1" style="70" min="18" max="18"/>
    <col width="11" customWidth="1" style="70" min="19" max="19"/>
    <col width="12" customWidth="1" style="69" min="20" max="20"/>
    <col hidden="1" width="6" customWidth="1" style="69" min="21" max="21"/>
    <col hidden="1" width="6" customWidth="1" style="69" min="22" max="22"/>
    <col hidden="1" width="6" customWidth="1" style="69" min="23" max="23"/>
    <col width="11" customWidth="1" style="70" min="24" max="24"/>
  </cols>
  <sheetData>
    <row r="1" ht="28" customHeight="1">
      <c r="A1" s="72" t="inlineStr">
        <is>
          <t>🧾  SALES / INVOICES (DELIVER)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Z1" s="73" t="inlineStr">
        <is>
          <t>◀ Home</t>
        </is>
      </c>
    </row>
    <row r="2">
      <c r="A2" s="3" t="inlineStr">
        <is>
          <t>One line per item sold. Keep all lines of an invoice together. Leave Rate blank to use the standard sale rate.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</row>
    <row r="3">
      <c r="A3" s="74" t="inlineStr">
        <is>
          <t>Blue / cream = type here</t>
        </is>
      </c>
      <c r="B3" s="75" t="n"/>
      <c r="C3" s="75" t="n"/>
      <c r="D3" s="75" t="n"/>
      <c r="E3" s="75" t="n"/>
      <c r="F3" s="75" t="n"/>
      <c r="G3" s="75" t="n"/>
      <c r="H3" s="75" t="n"/>
      <c r="I3" s="75" t="n"/>
      <c r="J3" s="76" t="inlineStr">
        <is>
          <t>⚙ C engine: {=_xll.ST_SALES(…)} fills J:X</t>
        </is>
      </c>
      <c r="K3" s="75" t="n"/>
      <c r="L3" s="75" t="n"/>
      <c r="M3" s="75" t="n"/>
      <c r="N3" s="75" t="n"/>
      <c r="O3" s="75" t="n"/>
      <c r="P3" s="75" t="n"/>
      <c r="Q3" s="75" t="n"/>
      <c r="R3" s="75" t="n"/>
      <c r="S3" s="75" t="n"/>
      <c r="T3" s="75" t="n"/>
      <c r="U3" s="75" t="n"/>
      <c r="V3" s="75" t="n"/>
      <c r="W3" s="75" t="n"/>
      <c r="X3" s="75" t="n"/>
    </row>
    <row r="4" ht="32" customHeight="1">
      <c r="A4" s="77" t="inlineStr">
        <is>
          <t>Date *</t>
        </is>
      </c>
      <c r="B4" s="77" t="inlineStr">
        <is>
          <t>Invoice No *</t>
        </is>
      </c>
      <c r="C4" s="77" t="inlineStr">
        <is>
          <t>Customer *</t>
        </is>
      </c>
      <c r="D4" s="77" t="inlineStr">
        <is>
          <t>Item *</t>
        </is>
      </c>
      <c r="E4" s="77" t="inlineStr">
        <is>
          <t>Qty *</t>
        </is>
      </c>
      <c r="F4" s="77" t="inlineStr">
        <is>
          <t>Rate (₹) blank=std</t>
        </is>
      </c>
      <c r="G4" s="77" t="inlineStr">
        <is>
          <t>Disc %</t>
        </is>
      </c>
      <c r="H4" s="77" t="inlineStr">
        <is>
          <t>Paid Via (blank=Credit)</t>
        </is>
      </c>
      <c r="I4" s="77" t="inlineStr">
        <is>
          <t>Delivery</t>
        </is>
      </c>
      <c r="J4" s="78" t="inlineStr">
        <is>
          <t>Unit</t>
        </is>
      </c>
      <c r="K4" s="78" t="inlineStr">
        <is>
          <t>Rate Used (₹)</t>
        </is>
      </c>
      <c r="L4" s="78" t="inlineStr">
        <is>
          <t>Taxable (₹)</t>
        </is>
      </c>
      <c r="M4" s="78" t="inlineStr">
        <is>
          <t>GST %</t>
        </is>
      </c>
      <c r="N4" s="78" t="inlineStr">
        <is>
          <t>CGST (₹)</t>
        </is>
      </c>
      <c r="O4" s="78" t="inlineStr">
        <is>
          <t>SGST (₹)</t>
        </is>
      </c>
      <c r="P4" s="78" t="inlineStr">
        <is>
          <t>IGST (₹)</t>
        </is>
      </c>
      <c r="Q4" s="78" t="inlineStr">
        <is>
          <t>Line Total (₹)</t>
        </is>
      </c>
      <c r="R4" s="78" t="inlineStr">
        <is>
          <t>COGS (₹)</t>
        </is>
      </c>
      <c r="S4" s="78" t="inlineStr">
        <is>
          <t>Profit (₹)</t>
        </is>
      </c>
      <c r="T4" s="78" t="inlineStr">
        <is>
          <t>Stock Check</t>
        </is>
      </c>
      <c r="U4" s="78" t="inlineStr">
        <is>
          <t>itemRow</t>
        </is>
      </c>
      <c r="V4" s="78" t="inlineStr">
        <is>
          <t>partyRow</t>
        </is>
      </c>
      <c r="W4" s="78" t="inlineStr">
        <is>
          <t>invNum</t>
        </is>
      </c>
      <c r="X4" s="78" t="inlineStr">
        <is>
          <t>Paid Now (₹)</t>
        </is>
      </c>
    </row>
    <row r="5">
      <c r="A5" s="64" t="n">
        <v>46113</v>
      </c>
      <c r="B5" s="65" t="inlineStr">
        <is>
          <t>INV-0001</t>
        </is>
      </c>
      <c r="C5" s="65" t="inlineStr">
        <is>
          <t>FMCG Distributors</t>
        </is>
      </c>
      <c r="D5" s="65" t="inlineStr">
        <is>
          <t>PVC Pipe 1in 6m</t>
        </is>
      </c>
      <c r="E5" s="66" t="n">
        <v>3</v>
      </c>
      <c r="H5" s="65" t="inlineStr">
        <is>
          <t>Bank</t>
        </is>
      </c>
      <c r="I5" s="65" t="inlineStr">
        <is>
          <t>Delivered</t>
        </is>
      </c>
      <c r="J5" s="69">
        <f t="array" ref="J5:X20004">_xll.ST_SALES(IN_Items,IN_Parties,IN_Purchases,IN_Sales,IN_CashBook,IN_Adjust,IN_Settings)</f>
        <v/>
      </c>
    </row>
    <row r="6">
      <c r="A6" s="64" t="n">
        <v>46113</v>
      </c>
      <c r="B6" s="65" t="inlineStr">
        <is>
          <t>INV-0002</t>
        </is>
      </c>
      <c r="C6" s="65" t="inlineStr">
        <is>
          <t>Walk-in Customer</t>
        </is>
      </c>
      <c r="D6" s="65" t="inlineStr">
        <is>
          <t>Sugar 50kg</t>
        </is>
      </c>
      <c r="E6" s="66" t="n">
        <v>1</v>
      </c>
      <c r="H6" s="65" t="inlineStr">
        <is>
          <t>Cash</t>
        </is>
      </c>
      <c r="I6" s="65" t="inlineStr">
        <is>
          <t>Delivered</t>
        </is>
      </c>
    </row>
    <row r="7">
      <c r="A7" s="64" t="n">
        <v>46113</v>
      </c>
      <c r="B7" s="65" t="inlineStr">
        <is>
          <t>INV-0002</t>
        </is>
      </c>
      <c r="C7" s="65" t="inlineStr">
        <is>
          <t>Walk-in Customer</t>
        </is>
      </c>
      <c r="D7" s="65" t="inlineStr">
        <is>
          <t>Tea Premium 1kg</t>
        </is>
      </c>
      <c r="E7" s="66" t="n">
        <v>4</v>
      </c>
      <c r="H7" s="65" t="inlineStr">
        <is>
          <t>Cash</t>
        </is>
      </c>
      <c r="I7" s="65" t="inlineStr">
        <is>
          <t>Delivered</t>
        </is>
      </c>
    </row>
    <row r="8">
      <c r="A8" s="64" t="n">
        <v>46113</v>
      </c>
      <c r="B8" s="65" t="inlineStr">
        <is>
          <t>INV-0002</t>
        </is>
      </c>
      <c r="C8" s="65" t="inlineStr">
        <is>
          <t>Walk-in Customer</t>
        </is>
      </c>
      <c r="D8" s="65" t="inlineStr">
        <is>
          <t>Ceiling Fan 1200mm</t>
        </is>
      </c>
      <c r="E8" s="66" t="n">
        <v>1</v>
      </c>
      <c r="G8" s="68" t="n">
        <v>0.05</v>
      </c>
      <c r="H8" s="65" t="inlineStr">
        <is>
          <t>Cash</t>
        </is>
      </c>
      <c r="I8" s="65" t="inlineStr">
        <is>
          <t>Delivered</t>
        </is>
      </c>
    </row>
    <row r="9">
      <c r="A9" s="64" t="n">
        <v>46114</v>
      </c>
      <c r="B9" s="65" t="inlineStr">
        <is>
          <t>INV-0003</t>
        </is>
      </c>
      <c r="C9" s="65" t="inlineStr">
        <is>
          <t>Walk-in Customer</t>
        </is>
      </c>
      <c r="D9" s="65" t="inlineStr">
        <is>
          <t>Tea Premium 1kg</t>
        </is>
      </c>
      <c r="E9" s="66" t="n">
        <v>1</v>
      </c>
      <c r="H9" s="65" t="inlineStr">
        <is>
          <t>Cash</t>
        </is>
      </c>
      <c r="I9" s="65" t="inlineStr">
        <is>
          <t>Delivered</t>
        </is>
      </c>
    </row>
    <row r="10">
      <c r="A10" s="64" t="n">
        <v>46114</v>
      </c>
      <c r="B10" s="65" t="inlineStr">
        <is>
          <t>INV-0004</t>
        </is>
      </c>
      <c r="C10" s="65" t="inlineStr">
        <is>
          <t>Mehta Constructions</t>
        </is>
      </c>
      <c r="D10" s="65" t="inlineStr">
        <is>
          <t>PVC Pipe 1in 6m</t>
        </is>
      </c>
      <c r="E10" s="66" t="n">
        <v>6</v>
      </c>
      <c r="G10" s="68" t="n">
        <v>0.05</v>
      </c>
      <c r="H10" s="65" t="inlineStr">
        <is>
          <t>UPI</t>
        </is>
      </c>
      <c r="I10" s="65" t="inlineStr">
        <is>
          <t>Delivered</t>
        </is>
      </c>
    </row>
    <row r="11">
      <c r="A11" s="64" t="n">
        <v>46114</v>
      </c>
      <c r="B11" s="65" t="inlineStr">
        <is>
          <t>INV-0004</t>
        </is>
      </c>
      <c r="C11" s="65" t="inlineStr">
        <is>
          <t>Mehta Constructions</t>
        </is>
      </c>
      <c r="D11" s="65" t="inlineStr">
        <is>
          <t>Sugar 50kg</t>
        </is>
      </c>
      <c r="E11" s="66" t="n">
        <v>1</v>
      </c>
      <c r="H11" s="65" t="inlineStr">
        <is>
          <t>UPI</t>
        </is>
      </c>
      <c r="I11" s="65" t="inlineStr">
        <is>
          <t>Delivered</t>
        </is>
      </c>
    </row>
    <row r="12">
      <c r="A12" s="64" t="n">
        <v>46115</v>
      </c>
      <c r="B12" s="65" t="inlineStr">
        <is>
          <t>INV-0005</t>
        </is>
      </c>
      <c r="C12" s="65" t="inlineStr">
        <is>
          <t>Walk-in Customer</t>
        </is>
      </c>
      <c r="D12" s="65" t="inlineStr">
        <is>
          <t>Sugar 50kg</t>
        </is>
      </c>
      <c r="E12" s="66" t="n">
        <v>1</v>
      </c>
      <c r="G12" s="68" t="n">
        <v>0.05</v>
      </c>
      <c r="H12" s="65" t="inlineStr">
        <is>
          <t>Cash</t>
        </is>
      </c>
      <c r="I12" s="65" t="inlineStr">
        <is>
          <t>Delivered</t>
        </is>
      </c>
    </row>
    <row r="13">
      <c r="A13" s="64" t="n">
        <v>46115</v>
      </c>
      <c r="B13" s="65" t="inlineStr">
        <is>
          <t>INV-0005</t>
        </is>
      </c>
      <c r="C13" s="65" t="inlineStr">
        <is>
          <t>Walk-in Customer</t>
        </is>
      </c>
      <c r="D13" s="65" t="inlineStr">
        <is>
          <t>PVC Pipe 1in 6m</t>
        </is>
      </c>
      <c r="E13" s="66" t="n">
        <v>2</v>
      </c>
      <c r="H13" s="65" t="inlineStr">
        <is>
          <t>Cash</t>
        </is>
      </c>
      <c r="I13" s="65" t="inlineStr">
        <is>
          <t>Delivered</t>
        </is>
      </c>
    </row>
    <row r="14">
      <c r="A14" s="64" t="n">
        <v>46115</v>
      </c>
      <c r="B14" s="65" t="inlineStr">
        <is>
          <t>INV-0006</t>
        </is>
      </c>
      <c r="C14" s="65" t="inlineStr">
        <is>
          <t>Walk-in Customer</t>
        </is>
      </c>
      <c r="D14" s="65" t="inlineStr">
        <is>
          <t>Toothpaste 150g x12</t>
        </is>
      </c>
      <c r="E14" s="66" t="n">
        <v>2</v>
      </c>
      <c r="H14" s="65" t="inlineStr">
        <is>
          <t>Cash</t>
        </is>
      </c>
      <c r="I14" s="65" t="inlineStr">
        <is>
          <t>Delivered</t>
        </is>
      </c>
    </row>
    <row r="15">
      <c r="A15" s="64" t="n">
        <v>46115</v>
      </c>
      <c r="B15" s="65" t="inlineStr">
        <is>
          <t>INV-0006</t>
        </is>
      </c>
      <c r="C15" s="65" t="inlineStr">
        <is>
          <t>Walk-in Customer</t>
        </is>
      </c>
      <c r="D15" s="65" t="inlineStr">
        <is>
          <t>Copper Wire 90m</t>
        </is>
      </c>
      <c r="E15" s="66" t="n">
        <v>1</v>
      </c>
      <c r="H15" s="65" t="inlineStr">
        <is>
          <t>Cash</t>
        </is>
      </c>
      <c r="I15" s="65" t="inlineStr">
        <is>
          <t>Delivered</t>
        </is>
      </c>
    </row>
    <row r="16">
      <c r="A16" s="64" t="n">
        <v>46115</v>
      </c>
      <c r="B16" s="65" t="inlineStr">
        <is>
          <t>INV-0006</t>
        </is>
      </c>
      <c r="C16" s="65" t="inlineStr">
        <is>
          <t>Walk-in Customer</t>
        </is>
      </c>
      <c r="D16" s="65" t="inlineStr">
        <is>
          <t>Cement 50kg</t>
        </is>
      </c>
      <c r="E16" s="66" t="n">
        <v>9</v>
      </c>
      <c r="H16" s="65" t="inlineStr">
        <is>
          <t>Cash</t>
        </is>
      </c>
      <c r="I16" s="65" t="inlineStr">
        <is>
          <t>Delivered</t>
        </is>
      </c>
    </row>
    <row r="17">
      <c r="A17" s="64" t="n">
        <v>46116</v>
      </c>
      <c r="B17" s="65" t="inlineStr">
        <is>
          <t>INV-0007</t>
        </is>
      </c>
      <c r="C17" s="65" t="inlineStr">
        <is>
          <t>Mehta Constructions</t>
        </is>
      </c>
      <c r="D17" s="65" t="inlineStr">
        <is>
          <t>Toothpaste 150g x12</t>
        </is>
      </c>
      <c r="E17" s="66" t="n">
        <v>1</v>
      </c>
      <c r="H17" s="65" t="inlineStr">
        <is>
          <t>Bank</t>
        </is>
      </c>
      <c r="I17" s="65" t="inlineStr">
        <is>
          <t>Delivered</t>
        </is>
      </c>
    </row>
    <row r="18">
      <c r="A18" s="64" t="n">
        <v>46116</v>
      </c>
      <c r="B18" s="65" t="inlineStr">
        <is>
          <t>INV-0007</t>
        </is>
      </c>
      <c r="C18" s="65" t="inlineStr">
        <is>
          <t>Mehta Constructions</t>
        </is>
      </c>
      <c r="D18" s="65" t="inlineStr">
        <is>
          <t>Copper Wire 90m</t>
        </is>
      </c>
      <c r="E18" s="66" t="n">
        <v>1</v>
      </c>
      <c r="G18" s="68" t="n">
        <v>0.02</v>
      </c>
      <c r="H18" s="65" t="inlineStr">
        <is>
          <t>Bank</t>
        </is>
      </c>
      <c r="I18" s="65" t="inlineStr">
        <is>
          <t>Delivered</t>
        </is>
      </c>
    </row>
    <row r="19">
      <c r="A19" s="64" t="n">
        <v>46116</v>
      </c>
      <c r="B19" s="65" t="inlineStr">
        <is>
          <t>INV-0007</t>
        </is>
      </c>
      <c r="C19" s="65" t="inlineStr">
        <is>
          <t>Mehta Constructions</t>
        </is>
      </c>
      <c r="D19" s="65" t="inlineStr">
        <is>
          <t>Detergent 5kg</t>
        </is>
      </c>
      <c r="E19" s="66" t="n">
        <v>1</v>
      </c>
      <c r="H19" s="65" t="inlineStr">
        <is>
          <t>Bank</t>
        </is>
      </c>
      <c r="I19" s="65" t="inlineStr">
        <is>
          <t>Delivered</t>
        </is>
      </c>
    </row>
    <row r="20">
      <c r="A20" s="64" t="n">
        <v>46116</v>
      </c>
      <c r="B20" s="65" t="inlineStr">
        <is>
          <t>INV-0008</t>
        </is>
      </c>
      <c r="C20" s="65" t="inlineStr">
        <is>
          <t>Delhi Hardware Mart</t>
        </is>
      </c>
      <c r="D20" s="65" t="inlineStr">
        <is>
          <t>Basmati Rice 25kg</t>
        </is>
      </c>
      <c r="E20" s="66" t="n">
        <v>2</v>
      </c>
      <c r="G20" s="68" t="n">
        <v>0.05</v>
      </c>
      <c r="H20" s="65" t="inlineStr">
        <is>
          <t>UPI</t>
        </is>
      </c>
      <c r="I20" s="65" t="inlineStr">
        <is>
          <t>Delivered</t>
        </is>
      </c>
    </row>
    <row r="21">
      <c r="A21" s="64" t="n">
        <v>46116</v>
      </c>
      <c r="B21" s="65" t="inlineStr">
        <is>
          <t>INV-0008</t>
        </is>
      </c>
      <c r="C21" s="65" t="inlineStr">
        <is>
          <t>Delhi Hardware Mart</t>
        </is>
      </c>
      <c r="D21" s="65" t="inlineStr">
        <is>
          <t>A4 Paper Ream</t>
        </is>
      </c>
      <c r="E21" s="66" t="n">
        <v>6</v>
      </c>
      <c r="H21" s="65" t="inlineStr">
        <is>
          <t>UPI</t>
        </is>
      </c>
      <c r="I21" s="65" t="inlineStr">
        <is>
          <t>Delivered</t>
        </is>
      </c>
    </row>
    <row r="22">
      <c r="A22" s="64" t="n">
        <v>46116</v>
      </c>
      <c r="B22" s="65" t="inlineStr">
        <is>
          <t>INV-0008</t>
        </is>
      </c>
      <c r="C22" s="65" t="inlineStr">
        <is>
          <t>Delhi Hardware Mart</t>
        </is>
      </c>
      <c r="D22" s="65" t="inlineStr">
        <is>
          <t>Sugar 50kg</t>
        </is>
      </c>
      <c r="E22" s="66" t="n">
        <v>1</v>
      </c>
      <c r="H22" s="65" t="inlineStr">
        <is>
          <t>UPI</t>
        </is>
      </c>
      <c r="I22" s="65" t="inlineStr">
        <is>
          <t>Delivered</t>
        </is>
      </c>
    </row>
    <row r="23">
      <c r="A23" s="64" t="n">
        <v>46118</v>
      </c>
      <c r="B23" s="65" t="inlineStr">
        <is>
          <t>INV-0009</t>
        </is>
      </c>
      <c r="C23" s="65" t="inlineStr">
        <is>
          <t>Gupta Electricals</t>
        </is>
      </c>
      <c r="D23" s="65" t="inlineStr">
        <is>
          <t>Copper Wire 90m</t>
        </is>
      </c>
      <c r="E23" s="66" t="n">
        <v>1</v>
      </c>
      <c r="I23" s="65" t="inlineStr">
        <is>
          <t>Delivered</t>
        </is>
      </c>
    </row>
    <row r="24">
      <c r="A24" s="64" t="n">
        <v>46118</v>
      </c>
      <c r="B24" s="65" t="inlineStr">
        <is>
          <t>INV-0009</t>
        </is>
      </c>
      <c r="C24" s="65" t="inlineStr">
        <is>
          <t>Gupta Electricals</t>
        </is>
      </c>
      <c r="D24" s="65" t="inlineStr">
        <is>
          <t>A4 Paper Ream</t>
        </is>
      </c>
      <c r="E24" s="66" t="n">
        <v>5</v>
      </c>
      <c r="G24" s="68" t="n">
        <v>0.02</v>
      </c>
      <c r="I24" s="65" t="inlineStr">
        <is>
          <t>Delivered</t>
        </is>
      </c>
    </row>
    <row r="25">
      <c r="A25" s="64" t="n">
        <v>46118</v>
      </c>
      <c r="B25" s="65" t="inlineStr">
        <is>
          <t>INV-0010</t>
        </is>
      </c>
      <c r="C25" s="65" t="inlineStr">
        <is>
          <t>Mehta Constructions</t>
        </is>
      </c>
      <c r="D25" s="65" t="inlineStr">
        <is>
          <t>Basmati Rice 25kg</t>
        </is>
      </c>
      <c r="E25" s="66" t="n">
        <v>1</v>
      </c>
      <c r="G25" s="68" t="n">
        <v>0.05</v>
      </c>
      <c r="H25" s="65" t="inlineStr">
        <is>
          <t>UPI</t>
        </is>
      </c>
      <c r="I25" s="65" t="inlineStr">
        <is>
          <t>Delivered</t>
        </is>
      </c>
    </row>
    <row r="26">
      <c r="A26" s="64" t="n">
        <v>46118</v>
      </c>
      <c r="B26" s="65" t="inlineStr">
        <is>
          <t>INV-0010</t>
        </is>
      </c>
      <c r="C26" s="65" t="inlineStr">
        <is>
          <t>Mehta Constructions</t>
        </is>
      </c>
      <c r="D26" s="65" t="inlineStr">
        <is>
          <t>Copper Wire 90m</t>
        </is>
      </c>
      <c r="E26" s="66" t="n">
        <v>1</v>
      </c>
      <c r="H26" s="65" t="inlineStr">
        <is>
          <t>UPI</t>
        </is>
      </c>
      <c r="I26" s="65" t="inlineStr">
        <is>
          <t>Delivered</t>
        </is>
      </c>
    </row>
    <row r="27">
      <c r="A27" s="64" t="n">
        <v>46118</v>
      </c>
      <c r="B27" s="65" t="inlineStr">
        <is>
          <t>INV-0011</t>
        </is>
      </c>
      <c r="C27" s="65" t="inlineStr">
        <is>
          <t>Walk-in Customer</t>
        </is>
      </c>
      <c r="D27" s="65" t="inlineStr">
        <is>
          <t>Refined Oil 15L</t>
        </is>
      </c>
      <c r="E27" s="66" t="n">
        <v>1</v>
      </c>
      <c r="G27" s="68" t="n">
        <v>0.02</v>
      </c>
      <c r="H27" s="65" t="inlineStr">
        <is>
          <t>Cash</t>
        </is>
      </c>
      <c r="I27" s="65" t="inlineStr">
        <is>
          <t>Delivered</t>
        </is>
      </c>
    </row>
    <row r="28">
      <c r="A28" s="64" t="n">
        <v>46118</v>
      </c>
      <c r="B28" s="65" t="inlineStr">
        <is>
          <t>INV-0011</t>
        </is>
      </c>
      <c r="C28" s="65" t="inlineStr">
        <is>
          <t>Walk-in Customer</t>
        </is>
      </c>
      <c r="D28" s="65" t="inlineStr">
        <is>
          <t>Tea Premium 1kg</t>
        </is>
      </c>
      <c r="E28" s="66" t="n">
        <v>1</v>
      </c>
      <c r="G28" s="68" t="n">
        <v>0.02</v>
      </c>
      <c r="H28" s="65" t="inlineStr">
        <is>
          <t>Cash</t>
        </is>
      </c>
      <c r="I28" s="65" t="inlineStr">
        <is>
          <t>Delivered</t>
        </is>
      </c>
    </row>
    <row r="29">
      <c r="A29" s="64" t="n">
        <v>46118</v>
      </c>
      <c r="B29" s="65" t="inlineStr">
        <is>
          <t>INV-0012</t>
        </is>
      </c>
      <c r="C29" s="65" t="inlineStr">
        <is>
          <t>Walk-in Customer</t>
        </is>
      </c>
      <c r="D29" s="65" t="inlineStr">
        <is>
          <t>Refined Oil 15L</t>
        </is>
      </c>
      <c r="E29" s="66" t="n">
        <v>2</v>
      </c>
      <c r="H29" s="65" t="inlineStr">
        <is>
          <t>Cash</t>
        </is>
      </c>
      <c r="I29" s="65" t="inlineStr">
        <is>
          <t>Delivered</t>
        </is>
      </c>
    </row>
    <row r="30">
      <c r="A30" s="64" t="n">
        <v>46118</v>
      </c>
      <c r="B30" s="65" t="inlineStr">
        <is>
          <t>INV-0012</t>
        </is>
      </c>
      <c r="C30" s="65" t="inlineStr">
        <is>
          <t>Walk-in Customer</t>
        </is>
      </c>
      <c r="D30" s="65" t="inlineStr">
        <is>
          <t>LED Bulb 9W</t>
        </is>
      </c>
      <c r="E30" s="66" t="n">
        <v>19</v>
      </c>
      <c r="H30" s="65" t="inlineStr">
        <is>
          <t>Cash</t>
        </is>
      </c>
      <c r="I30" s="65" t="inlineStr">
        <is>
          <t>Delivered</t>
        </is>
      </c>
    </row>
    <row r="31">
      <c r="A31" s="64" t="n">
        <v>46119</v>
      </c>
      <c r="B31" s="65" t="inlineStr">
        <is>
          <t>INV-0013</t>
        </is>
      </c>
      <c r="C31" s="65" t="inlineStr">
        <is>
          <t>Walk-in Customer</t>
        </is>
      </c>
      <c r="D31" s="65" t="inlineStr">
        <is>
          <t>Sugar 50kg</t>
        </is>
      </c>
      <c r="E31" s="66" t="n">
        <v>1</v>
      </c>
      <c r="H31" s="65" t="inlineStr">
        <is>
          <t>Cash</t>
        </is>
      </c>
      <c r="I31" s="65" t="inlineStr">
        <is>
          <t>Delivered</t>
        </is>
      </c>
    </row>
    <row r="32">
      <c r="A32" s="64" t="n">
        <v>46119</v>
      </c>
      <c r="B32" s="65" t="inlineStr">
        <is>
          <t>INV-0013</t>
        </is>
      </c>
      <c r="C32" s="65" t="inlineStr">
        <is>
          <t>Walk-in Customer</t>
        </is>
      </c>
      <c r="D32" s="65" t="inlineStr">
        <is>
          <t>Refined Oil 15L</t>
        </is>
      </c>
      <c r="E32" s="66" t="n">
        <v>1</v>
      </c>
      <c r="G32" s="68" t="n">
        <v>0.05</v>
      </c>
      <c r="H32" s="65" t="inlineStr">
        <is>
          <t>Cash</t>
        </is>
      </c>
      <c r="I32" s="65" t="inlineStr">
        <is>
          <t>Delivered</t>
        </is>
      </c>
    </row>
    <row r="33">
      <c r="A33" s="64" t="n">
        <v>46119</v>
      </c>
      <c r="B33" s="65" t="inlineStr">
        <is>
          <t>INV-0014</t>
        </is>
      </c>
      <c r="C33" s="65" t="inlineStr">
        <is>
          <t>Delhi Hardware Mart</t>
        </is>
      </c>
      <c r="D33" s="65" t="inlineStr">
        <is>
          <t>Basmati Rice 25kg</t>
        </is>
      </c>
      <c r="E33" s="66" t="n">
        <v>1</v>
      </c>
      <c r="I33" s="65" t="inlineStr">
        <is>
          <t>Delivered</t>
        </is>
      </c>
    </row>
    <row r="34">
      <c r="A34" s="64" t="n">
        <v>46119</v>
      </c>
      <c r="B34" s="65" t="inlineStr">
        <is>
          <t>INV-0014</t>
        </is>
      </c>
      <c r="C34" s="65" t="inlineStr">
        <is>
          <t>Delhi Hardware Mart</t>
        </is>
      </c>
      <c r="D34" s="65" t="inlineStr">
        <is>
          <t>Refined Oil 15L</t>
        </is>
      </c>
      <c r="E34" s="66" t="n">
        <v>1</v>
      </c>
      <c r="I34" s="65" t="inlineStr">
        <is>
          <t>Delivered</t>
        </is>
      </c>
    </row>
    <row r="35">
      <c r="A35" s="64" t="n">
        <v>46119</v>
      </c>
      <c r="B35" s="65" t="inlineStr">
        <is>
          <t>INV-0015</t>
        </is>
      </c>
      <c r="C35" s="65" t="inlineStr">
        <is>
          <t>Delhi Hardware Mart</t>
        </is>
      </c>
      <c r="D35" s="65" t="inlineStr">
        <is>
          <t>Copper Wire 90m</t>
        </is>
      </c>
      <c r="E35" s="66" t="n">
        <v>1</v>
      </c>
      <c r="G35" s="68" t="n">
        <v>0.05</v>
      </c>
      <c r="H35" s="65" t="inlineStr">
        <is>
          <t>Bank</t>
        </is>
      </c>
      <c r="I35" s="65" t="inlineStr">
        <is>
          <t>Delivered</t>
        </is>
      </c>
    </row>
    <row r="36">
      <c r="A36" s="64" t="n">
        <v>46119</v>
      </c>
      <c r="B36" s="65" t="inlineStr">
        <is>
          <t>INV-0016</t>
        </is>
      </c>
      <c r="C36" s="65" t="inlineStr">
        <is>
          <t>Walk-in Customer</t>
        </is>
      </c>
      <c r="D36" s="65" t="inlineStr">
        <is>
          <t>LED Bulb 9W</t>
        </is>
      </c>
      <c r="E36" s="66" t="n">
        <v>14</v>
      </c>
      <c r="G36" s="68" t="n">
        <v>0.02</v>
      </c>
      <c r="H36" s="65" t="inlineStr">
        <is>
          <t>Cash</t>
        </is>
      </c>
      <c r="I36" s="65" t="inlineStr">
        <is>
          <t>Delivered</t>
        </is>
      </c>
    </row>
    <row r="37">
      <c r="A37" s="64" t="n">
        <v>46119</v>
      </c>
      <c r="B37" s="65" t="inlineStr">
        <is>
          <t>INV-0016</t>
        </is>
      </c>
      <c r="C37" s="65" t="inlineStr">
        <is>
          <t>Walk-in Customer</t>
        </is>
      </c>
      <c r="D37" s="65" t="inlineStr">
        <is>
          <t>Ceiling Fan 1200mm</t>
        </is>
      </c>
      <c r="E37" s="66" t="n">
        <v>1</v>
      </c>
      <c r="H37" s="65" t="inlineStr">
        <is>
          <t>Cash</t>
        </is>
      </c>
      <c r="I37" s="65" t="inlineStr">
        <is>
          <t>Delivered</t>
        </is>
      </c>
    </row>
    <row r="38">
      <c r="A38" s="64" t="n">
        <v>46119</v>
      </c>
      <c r="B38" s="65" t="inlineStr">
        <is>
          <t>INV-0016</t>
        </is>
      </c>
      <c r="C38" s="65" t="inlineStr">
        <is>
          <t>Walk-in Customer</t>
        </is>
      </c>
      <c r="D38" s="65" t="inlineStr">
        <is>
          <t>Sugar 50kg</t>
        </is>
      </c>
      <c r="E38" s="66" t="n">
        <v>1</v>
      </c>
      <c r="G38" s="68" t="n">
        <v>0.02</v>
      </c>
      <c r="H38" s="65" t="inlineStr">
        <is>
          <t>Cash</t>
        </is>
      </c>
      <c r="I38" s="65" t="inlineStr">
        <is>
          <t>Delivered</t>
        </is>
      </c>
    </row>
    <row r="39">
      <c r="A39" s="64" t="n">
        <v>46120</v>
      </c>
      <c r="B39" s="65" t="inlineStr">
        <is>
          <t>INV-0017</t>
        </is>
      </c>
      <c r="C39" s="65" t="inlineStr">
        <is>
          <t>Gupta Electricals</t>
        </is>
      </c>
      <c r="D39" s="65" t="inlineStr">
        <is>
          <t>Sugar 50kg</t>
        </is>
      </c>
      <c r="E39" s="66" t="n">
        <v>1</v>
      </c>
      <c r="I39" s="65" t="inlineStr">
        <is>
          <t>Delivered</t>
        </is>
      </c>
    </row>
    <row r="40">
      <c r="A40" s="64" t="n">
        <v>46120</v>
      </c>
      <c r="B40" s="65" t="inlineStr">
        <is>
          <t>INV-0018</t>
        </is>
      </c>
      <c r="C40" s="65" t="inlineStr">
        <is>
          <t>Gupta Electricals</t>
        </is>
      </c>
      <c r="D40" s="65" t="inlineStr">
        <is>
          <t>Sugar 50kg</t>
        </is>
      </c>
      <c r="E40" s="66" t="n">
        <v>1</v>
      </c>
      <c r="G40" s="68" t="n">
        <v>0.05</v>
      </c>
      <c r="I40" s="65" t="inlineStr">
        <is>
          <t>Delivered</t>
        </is>
      </c>
    </row>
    <row r="41">
      <c r="A41" s="64" t="n">
        <v>46120</v>
      </c>
      <c r="B41" s="65" t="inlineStr">
        <is>
          <t>INV-0019</t>
        </is>
      </c>
      <c r="C41" s="65" t="inlineStr">
        <is>
          <t>Walk-in Customer</t>
        </is>
      </c>
      <c r="D41" s="65" t="inlineStr">
        <is>
          <t>A4 Paper Ream</t>
        </is>
      </c>
      <c r="E41" s="66" t="n">
        <v>7</v>
      </c>
      <c r="G41" s="68" t="n">
        <v>0.05</v>
      </c>
      <c r="H41" s="65" t="inlineStr">
        <is>
          <t>Cash</t>
        </is>
      </c>
      <c r="I41" s="65" t="inlineStr">
        <is>
          <t>Delivered</t>
        </is>
      </c>
    </row>
    <row r="42">
      <c r="A42" s="64" t="n">
        <v>46120</v>
      </c>
      <c r="B42" s="65" t="inlineStr">
        <is>
          <t>INV-0019</t>
        </is>
      </c>
      <c r="C42" s="65" t="inlineStr">
        <is>
          <t>Walk-in Customer</t>
        </is>
      </c>
      <c r="D42" s="65" t="inlineStr">
        <is>
          <t>Detergent 5kg</t>
        </is>
      </c>
      <c r="E42" s="66" t="n">
        <v>1</v>
      </c>
      <c r="H42" s="65" t="inlineStr">
        <is>
          <t>Cash</t>
        </is>
      </c>
      <c r="I42" s="65" t="inlineStr">
        <is>
          <t>Delivered</t>
        </is>
      </c>
    </row>
    <row r="43">
      <c r="A43" s="64" t="n">
        <v>46121</v>
      </c>
      <c r="B43" s="65" t="inlineStr">
        <is>
          <t>INV-0020</t>
        </is>
      </c>
      <c r="C43" s="65" t="inlineStr">
        <is>
          <t>Walk-in Customer</t>
        </is>
      </c>
      <c r="D43" s="65" t="inlineStr">
        <is>
          <t>Copper Wire 90m</t>
        </is>
      </c>
      <c r="E43" s="66" t="n">
        <v>1</v>
      </c>
      <c r="H43" s="65" t="inlineStr">
        <is>
          <t>Cash</t>
        </is>
      </c>
      <c r="I43" s="65" t="inlineStr">
        <is>
          <t>Delivered</t>
        </is>
      </c>
    </row>
    <row r="44">
      <c r="A44" s="64" t="n">
        <v>46121</v>
      </c>
      <c r="B44" s="65" t="inlineStr">
        <is>
          <t>INV-0020</t>
        </is>
      </c>
      <c r="C44" s="65" t="inlineStr">
        <is>
          <t>Walk-in Customer</t>
        </is>
      </c>
      <c r="D44" s="65" t="inlineStr">
        <is>
          <t>Ceiling Fan 1200mm</t>
        </is>
      </c>
      <c r="E44" s="66" t="n">
        <v>1</v>
      </c>
      <c r="H44" s="65" t="inlineStr">
        <is>
          <t>Cash</t>
        </is>
      </c>
      <c r="I44" s="65" t="inlineStr">
        <is>
          <t>Delivered</t>
        </is>
      </c>
    </row>
    <row r="45">
      <c r="A45" s="64" t="n">
        <v>46121</v>
      </c>
      <c r="B45" s="65" t="inlineStr">
        <is>
          <t>INV-0020</t>
        </is>
      </c>
      <c r="C45" s="65" t="inlineStr">
        <is>
          <t>Walk-in Customer</t>
        </is>
      </c>
      <c r="D45" s="65" t="inlineStr">
        <is>
          <t>Detergent 5kg</t>
        </is>
      </c>
      <c r="E45" s="66" t="n">
        <v>2</v>
      </c>
      <c r="H45" s="65" t="inlineStr">
        <is>
          <t>Cash</t>
        </is>
      </c>
      <c r="I45" s="65" t="inlineStr">
        <is>
          <t>Delivered</t>
        </is>
      </c>
    </row>
    <row r="46">
      <c r="A46" s="64" t="n">
        <v>46121</v>
      </c>
      <c r="B46" s="65" t="inlineStr">
        <is>
          <t>INV-0021</t>
        </is>
      </c>
      <c r="C46" s="65" t="inlineStr">
        <is>
          <t>Sharma Kirana Store</t>
        </is>
      </c>
      <c r="D46" s="65" t="inlineStr">
        <is>
          <t>Refined Oil 15L</t>
        </is>
      </c>
      <c r="E46" s="66" t="n">
        <v>2</v>
      </c>
      <c r="G46" s="68" t="n">
        <v>0.05</v>
      </c>
      <c r="I46" s="65" t="inlineStr">
        <is>
          <t>Delivered</t>
        </is>
      </c>
    </row>
    <row r="47">
      <c r="A47" s="64" t="n">
        <v>46121</v>
      </c>
      <c r="B47" s="65" t="inlineStr">
        <is>
          <t>INV-0021</t>
        </is>
      </c>
      <c r="C47" s="65" t="inlineStr">
        <is>
          <t>Sharma Kirana Store</t>
        </is>
      </c>
      <c r="D47" s="65" t="inlineStr">
        <is>
          <t>PVC Pipe 1in 6m</t>
        </is>
      </c>
      <c r="E47" s="66" t="n">
        <v>4</v>
      </c>
      <c r="I47" s="65" t="inlineStr">
        <is>
          <t>Delivered</t>
        </is>
      </c>
    </row>
    <row r="48">
      <c r="A48" s="64" t="n">
        <v>46122</v>
      </c>
      <c r="B48" s="65" t="inlineStr">
        <is>
          <t>INV-0022</t>
        </is>
      </c>
      <c r="C48" s="65" t="inlineStr">
        <is>
          <t>FMCG Distributors</t>
        </is>
      </c>
      <c r="D48" s="65" t="inlineStr">
        <is>
          <t>Tea Premium 1kg</t>
        </is>
      </c>
      <c r="E48" s="66" t="n">
        <v>3</v>
      </c>
      <c r="G48" s="68" t="n">
        <v>0.05</v>
      </c>
      <c r="I48" s="65" t="inlineStr">
        <is>
          <t>Delivered</t>
        </is>
      </c>
    </row>
    <row r="49">
      <c r="A49" s="64" t="n">
        <v>46122</v>
      </c>
      <c r="B49" s="65" t="inlineStr">
        <is>
          <t>INV-0022</t>
        </is>
      </c>
      <c r="C49" s="65" t="inlineStr">
        <is>
          <t>FMCG Distributors</t>
        </is>
      </c>
      <c r="D49" s="65" t="inlineStr">
        <is>
          <t>PVC Pipe 1in 6m</t>
        </is>
      </c>
      <c r="E49" s="66" t="n">
        <v>4</v>
      </c>
      <c r="I49" s="65" t="inlineStr">
        <is>
          <t>Delivered</t>
        </is>
      </c>
    </row>
    <row r="50">
      <c r="A50" s="64" t="n">
        <v>46122</v>
      </c>
      <c r="B50" s="65" t="inlineStr">
        <is>
          <t>INV-0023</t>
        </is>
      </c>
      <c r="C50" s="65" t="inlineStr">
        <is>
          <t>Walk-in Customer</t>
        </is>
      </c>
      <c r="D50" s="65" t="inlineStr">
        <is>
          <t>LED Bulb 9W</t>
        </is>
      </c>
      <c r="E50" s="66" t="n">
        <v>8</v>
      </c>
      <c r="G50" s="68" t="n">
        <v>0.02</v>
      </c>
      <c r="H50" s="65" t="inlineStr">
        <is>
          <t>Cash</t>
        </is>
      </c>
      <c r="I50" s="65" t="inlineStr">
        <is>
          <t>Delivered</t>
        </is>
      </c>
    </row>
    <row r="51">
      <c r="A51" s="64" t="n">
        <v>46122</v>
      </c>
      <c r="B51" s="65" t="inlineStr">
        <is>
          <t>INV-0023</t>
        </is>
      </c>
      <c r="C51" s="65" t="inlineStr">
        <is>
          <t>Walk-in Customer</t>
        </is>
      </c>
      <c r="D51" s="65" t="inlineStr">
        <is>
          <t>Tea Premium 1kg</t>
        </is>
      </c>
      <c r="E51" s="66" t="n">
        <v>2</v>
      </c>
      <c r="H51" s="65" t="inlineStr">
        <is>
          <t>Cash</t>
        </is>
      </c>
      <c r="I51" s="65" t="inlineStr">
        <is>
          <t>Delivered</t>
        </is>
      </c>
    </row>
    <row r="52">
      <c r="A52" s="64" t="n">
        <v>46122</v>
      </c>
      <c r="B52" s="65" t="inlineStr">
        <is>
          <t>INV-0024</t>
        </is>
      </c>
      <c r="C52" s="65" t="inlineStr">
        <is>
          <t>Sharma Kirana Store</t>
        </is>
      </c>
      <c r="D52" s="65" t="inlineStr">
        <is>
          <t>Detergent 5kg</t>
        </is>
      </c>
      <c r="E52" s="66" t="n">
        <v>3</v>
      </c>
      <c r="G52" s="68" t="n">
        <v>0.02</v>
      </c>
      <c r="I52" s="65" t="inlineStr">
        <is>
          <t>Delivered</t>
        </is>
      </c>
    </row>
    <row r="53">
      <c r="A53" s="64" t="n">
        <v>46122</v>
      </c>
      <c r="B53" s="65" t="inlineStr">
        <is>
          <t>INV-0024</t>
        </is>
      </c>
      <c r="C53" s="65" t="inlineStr">
        <is>
          <t>Sharma Kirana Store</t>
        </is>
      </c>
      <c r="D53" s="65" t="inlineStr">
        <is>
          <t>Tea Premium 1kg</t>
        </is>
      </c>
      <c r="E53" s="66" t="n">
        <v>4</v>
      </c>
      <c r="I53" s="65" t="inlineStr">
        <is>
          <t>Delivered</t>
        </is>
      </c>
    </row>
    <row r="54">
      <c r="A54" s="64" t="n">
        <v>46122</v>
      </c>
      <c r="B54" s="65" t="inlineStr">
        <is>
          <t>INV-0024</t>
        </is>
      </c>
      <c r="C54" s="65" t="inlineStr">
        <is>
          <t>Sharma Kirana Store</t>
        </is>
      </c>
      <c r="D54" s="65" t="inlineStr">
        <is>
          <t>Cement 50kg</t>
        </is>
      </c>
      <c r="E54" s="66" t="n">
        <v>12</v>
      </c>
      <c r="I54" s="65" t="inlineStr">
        <is>
          <t>Delivered</t>
        </is>
      </c>
    </row>
    <row r="55">
      <c r="A55" s="64" t="n">
        <v>46123</v>
      </c>
      <c r="B55" s="65" t="inlineStr">
        <is>
          <t>INV-0025</t>
        </is>
      </c>
      <c r="C55" s="65" t="inlineStr">
        <is>
          <t>Walk-in Customer</t>
        </is>
      </c>
      <c r="D55" s="65" t="inlineStr">
        <is>
          <t>Copper Wire 90m</t>
        </is>
      </c>
      <c r="E55" s="66" t="n">
        <v>1</v>
      </c>
      <c r="H55" s="65" t="inlineStr">
        <is>
          <t>Cash</t>
        </is>
      </c>
      <c r="I55" s="65" t="inlineStr">
        <is>
          <t>Delivered</t>
        </is>
      </c>
    </row>
    <row r="56">
      <c r="A56" s="64" t="n">
        <v>46123</v>
      </c>
      <c r="B56" s="65" t="inlineStr">
        <is>
          <t>INV-0025</t>
        </is>
      </c>
      <c r="C56" s="65" t="inlineStr">
        <is>
          <t>Walk-in Customer</t>
        </is>
      </c>
      <c r="D56" s="65" t="inlineStr">
        <is>
          <t>Refined Oil 15L</t>
        </is>
      </c>
      <c r="E56" s="66" t="n">
        <v>1</v>
      </c>
      <c r="G56" s="68" t="n">
        <v>0.02</v>
      </c>
      <c r="H56" s="65" t="inlineStr">
        <is>
          <t>Cash</t>
        </is>
      </c>
      <c r="I56" s="65" t="inlineStr">
        <is>
          <t>Delivered</t>
        </is>
      </c>
    </row>
    <row r="57">
      <c r="A57" s="64" t="n">
        <v>46123</v>
      </c>
      <c r="B57" s="65" t="inlineStr">
        <is>
          <t>INV-0026</t>
        </is>
      </c>
      <c r="C57" s="65" t="inlineStr">
        <is>
          <t>Walk-in Customer</t>
        </is>
      </c>
      <c r="D57" s="65" t="inlineStr">
        <is>
          <t>Ceiling Fan 1200mm</t>
        </is>
      </c>
      <c r="E57" s="66" t="n">
        <v>1</v>
      </c>
      <c r="H57" s="65" t="inlineStr">
        <is>
          <t>Cash</t>
        </is>
      </c>
      <c r="I57" s="65" t="inlineStr">
        <is>
          <t>Delivered</t>
        </is>
      </c>
    </row>
    <row r="58">
      <c r="A58" s="64" t="n">
        <v>46123</v>
      </c>
      <c r="B58" s="65" t="inlineStr">
        <is>
          <t>INV-0026</t>
        </is>
      </c>
      <c r="C58" s="65" t="inlineStr">
        <is>
          <t>Walk-in Customer</t>
        </is>
      </c>
      <c r="D58" s="65" t="inlineStr">
        <is>
          <t>Sugar 50kg</t>
        </is>
      </c>
      <c r="E58" s="66" t="n">
        <v>1</v>
      </c>
      <c r="G58" s="68" t="n">
        <v>0.05</v>
      </c>
      <c r="H58" s="65" t="inlineStr">
        <is>
          <t>Cash</t>
        </is>
      </c>
      <c r="I58" s="65" t="inlineStr">
        <is>
          <t>Delivered</t>
        </is>
      </c>
    </row>
    <row r="59">
      <c r="A59" s="64" t="n">
        <v>46123</v>
      </c>
      <c r="B59" s="65" t="inlineStr">
        <is>
          <t>INV-0026</t>
        </is>
      </c>
      <c r="C59" s="65" t="inlineStr">
        <is>
          <t>Walk-in Customer</t>
        </is>
      </c>
      <c r="D59" s="65" t="inlineStr">
        <is>
          <t>Refined Oil 15L</t>
        </is>
      </c>
      <c r="E59" s="66" t="n">
        <v>2</v>
      </c>
      <c r="H59" s="65" t="inlineStr">
        <is>
          <t>Cash</t>
        </is>
      </c>
      <c r="I59" s="65" t="inlineStr">
        <is>
          <t>Delivered</t>
        </is>
      </c>
    </row>
    <row r="60">
      <c r="A60" s="64" t="n">
        <v>46125</v>
      </c>
      <c r="B60" s="65" t="inlineStr">
        <is>
          <t>INV-0027</t>
        </is>
      </c>
      <c r="C60" s="65" t="inlineStr">
        <is>
          <t>FMCG Distributors</t>
        </is>
      </c>
      <c r="D60" s="65" t="inlineStr">
        <is>
          <t>Basmati Rice 25kg</t>
        </is>
      </c>
      <c r="E60" s="66" t="n">
        <v>2</v>
      </c>
      <c r="I60" s="65" t="inlineStr">
        <is>
          <t>Delivered</t>
        </is>
      </c>
    </row>
    <row r="61">
      <c r="A61" s="64" t="n">
        <v>46125</v>
      </c>
      <c r="B61" s="65" t="inlineStr">
        <is>
          <t>INV-0027</t>
        </is>
      </c>
      <c r="C61" s="65" t="inlineStr">
        <is>
          <t>FMCG Distributors</t>
        </is>
      </c>
      <c r="D61" s="65" t="inlineStr">
        <is>
          <t>Ceiling Fan 1200mm</t>
        </is>
      </c>
      <c r="E61" s="66" t="n">
        <v>1</v>
      </c>
      <c r="I61" s="65" t="inlineStr">
        <is>
          <t>Delivered</t>
        </is>
      </c>
    </row>
    <row r="62">
      <c r="A62" s="64" t="n">
        <v>46125</v>
      </c>
      <c r="B62" s="65" t="inlineStr">
        <is>
          <t>INV-0028</t>
        </is>
      </c>
      <c r="C62" s="65" t="inlineStr">
        <is>
          <t>Walk-in Customer</t>
        </is>
      </c>
      <c r="D62" s="65" t="inlineStr">
        <is>
          <t>Tea Premium 1kg</t>
        </is>
      </c>
      <c r="E62" s="66" t="n">
        <v>2</v>
      </c>
      <c r="H62" s="65" t="inlineStr">
        <is>
          <t>Cash</t>
        </is>
      </c>
      <c r="I62" s="65" t="inlineStr">
        <is>
          <t>Delivered</t>
        </is>
      </c>
    </row>
    <row r="63">
      <c r="A63" s="64" t="n">
        <v>46125</v>
      </c>
      <c r="B63" s="65" t="inlineStr">
        <is>
          <t>INV-0028</t>
        </is>
      </c>
      <c r="C63" s="65" t="inlineStr">
        <is>
          <t>Walk-in Customer</t>
        </is>
      </c>
      <c r="D63" s="65" t="inlineStr">
        <is>
          <t>Basmati Rice 25kg</t>
        </is>
      </c>
      <c r="E63" s="66" t="n">
        <v>1</v>
      </c>
      <c r="G63" s="68" t="n">
        <v>0.05</v>
      </c>
      <c r="H63" s="65" t="inlineStr">
        <is>
          <t>Cash</t>
        </is>
      </c>
      <c r="I63" s="65" t="inlineStr">
        <is>
          <t>Delivered</t>
        </is>
      </c>
    </row>
    <row r="64">
      <c r="A64" s="64" t="n">
        <v>46125</v>
      </c>
      <c r="B64" s="65" t="inlineStr">
        <is>
          <t>INV-0029</t>
        </is>
      </c>
      <c r="C64" s="65" t="inlineStr">
        <is>
          <t>FMCG Distributors</t>
        </is>
      </c>
      <c r="D64" s="65" t="inlineStr">
        <is>
          <t>Refined Oil 15L</t>
        </is>
      </c>
      <c r="E64" s="66" t="n">
        <v>2</v>
      </c>
      <c r="G64" s="68" t="n">
        <v>0.05</v>
      </c>
      <c r="I64" s="65" t="inlineStr">
        <is>
          <t>Delivered</t>
        </is>
      </c>
    </row>
    <row r="65">
      <c r="A65" s="64" t="n">
        <v>46125</v>
      </c>
      <c r="B65" s="65" t="inlineStr">
        <is>
          <t>INV-0029</t>
        </is>
      </c>
      <c r="C65" s="65" t="inlineStr">
        <is>
          <t>FMCG Distributors</t>
        </is>
      </c>
      <c r="D65" s="65" t="inlineStr">
        <is>
          <t>Basmati Rice 25kg</t>
        </is>
      </c>
      <c r="E65" s="66" t="n">
        <v>2</v>
      </c>
      <c r="G65" s="68" t="n">
        <v>0.05</v>
      </c>
      <c r="I65" s="65" t="inlineStr">
        <is>
          <t>Delivered</t>
        </is>
      </c>
    </row>
    <row r="66">
      <c r="A66" s="64" t="n">
        <v>46125</v>
      </c>
      <c r="B66" s="65" t="inlineStr">
        <is>
          <t>INV-0029</t>
        </is>
      </c>
      <c r="C66" s="65" t="inlineStr">
        <is>
          <t>FMCG Distributors</t>
        </is>
      </c>
      <c r="D66" s="65" t="inlineStr">
        <is>
          <t>Toothpaste 150g x12</t>
        </is>
      </c>
      <c r="E66" s="66" t="n">
        <v>1</v>
      </c>
      <c r="G66" s="68" t="n">
        <v>0.05</v>
      </c>
      <c r="I66" s="65" t="inlineStr">
        <is>
          <t>Delivered</t>
        </is>
      </c>
    </row>
    <row r="67">
      <c r="A67" s="64" t="n">
        <v>46125</v>
      </c>
      <c r="B67" s="65" t="inlineStr">
        <is>
          <t>INV-0030</t>
        </is>
      </c>
      <c r="C67" s="65" t="inlineStr">
        <is>
          <t>Delhi Hardware Mart</t>
        </is>
      </c>
      <c r="D67" s="65" t="inlineStr">
        <is>
          <t>PVC Pipe 1in 6m</t>
        </is>
      </c>
      <c r="E67" s="66" t="n">
        <v>2</v>
      </c>
      <c r="G67" s="68" t="n">
        <v>0.02</v>
      </c>
      <c r="H67" s="65" t="inlineStr">
        <is>
          <t>Bank</t>
        </is>
      </c>
      <c r="I67" s="65" t="inlineStr">
        <is>
          <t>Delivered</t>
        </is>
      </c>
    </row>
    <row r="68">
      <c r="A68" s="64" t="n">
        <v>46125</v>
      </c>
      <c r="B68" s="65" t="inlineStr">
        <is>
          <t>INV-0030</t>
        </is>
      </c>
      <c r="C68" s="65" t="inlineStr">
        <is>
          <t>Delhi Hardware Mart</t>
        </is>
      </c>
      <c r="D68" s="65" t="inlineStr">
        <is>
          <t>Ceiling Fan 1200mm</t>
        </is>
      </c>
      <c r="E68" s="66" t="n">
        <v>1</v>
      </c>
      <c r="G68" s="68" t="n">
        <v>0.05</v>
      </c>
      <c r="H68" s="65" t="inlineStr">
        <is>
          <t>Bank</t>
        </is>
      </c>
      <c r="I68" s="65" t="inlineStr">
        <is>
          <t>Delivered</t>
        </is>
      </c>
    </row>
    <row r="69">
      <c r="A69" s="64" t="n">
        <v>46126</v>
      </c>
      <c r="B69" s="65" t="inlineStr">
        <is>
          <t>INV-0031</t>
        </is>
      </c>
      <c r="C69" s="65" t="inlineStr">
        <is>
          <t>Delhi Hardware Mart</t>
        </is>
      </c>
      <c r="D69" s="65" t="inlineStr">
        <is>
          <t>Copper Wire 90m</t>
        </is>
      </c>
      <c r="E69" s="66" t="n">
        <v>1</v>
      </c>
      <c r="G69" s="68" t="n">
        <v>0.05</v>
      </c>
      <c r="I69" s="65" t="inlineStr">
        <is>
          <t>Delivered</t>
        </is>
      </c>
    </row>
    <row r="70">
      <c r="A70" s="64" t="n">
        <v>46126</v>
      </c>
      <c r="B70" s="65" t="inlineStr">
        <is>
          <t>INV-0031</t>
        </is>
      </c>
      <c r="C70" s="65" t="inlineStr">
        <is>
          <t>Delhi Hardware Mart</t>
        </is>
      </c>
      <c r="D70" s="65" t="inlineStr">
        <is>
          <t>Cement 50kg</t>
        </is>
      </c>
      <c r="E70" s="66" t="n">
        <v>3</v>
      </c>
      <c r="G70" s="68" t="n">
        <v>0.05</v>
      </c>
      <c r="I70" s="65" t="inlineStr">
        <is>
          <t>Delivered</t>
        </is>
      </c>
    </row>
    <row r="71">
      <c r="A71" s="64" t="n">
        <v>46126</v>
      </c>
      <c r="B71" s="65" t="inlineStr">
        <is>
          <t>INV-0032</t>
        </is>
      </c>
      <c r="C71" s="65" t="inlineStr">
        <is>
          <t>Walk-in Customer</t>
        </is>
      </c>
      <c r="D71" s="65" t="inlineStr">
        <is>
          <t>PVC Pipe 1in 6m</t>
        </is>
      </c>
      <c r="E71" s="66" t="n">
        <v>2</v>
      </c>
      <c r="H71" s="65" t="inlineStr">
        <is>
          <t>Cash</t>
        </is>
      </c>
      <c r="I71" s="65" t="inlineStr">
        <is>
          <t>Delivered</t>
        </is>
      </c>
    </row>
    <row r="72">
      <c r="A72" s="64" t="n">
        <v>46127</v>
      </c>
      <c r="B72" s="65" t="inlineStr">
        <is>
          <t>INV-0033</t>
        </is>
      </c>
      <c r="C72" s="65" t="inlineStr">
        <is>
          <t>Sharma Kirana Store</t>
        </is>
      </c>
      <c r="D72" s="65" t="inlineStr">
        <is>
          <t>PVC Pipe 1in 6m</t>
        </is>
      </c>
      <c r="E72" s="66" t="n">
        <v>5</v>
      </c>
      <c r="G72" s="68" t="n">
        <v>0.05</v>
      </c>
      <c r="I72" s="65" t="inlineStr">
        <is>
          <t>Delivered</t>
        </is>
      </c>
    </row>
    <row r="73">
      <c r="A73" s="64" t="n">
        <v>46127</v>
      </c>
      <c r="B73" s="65" t="inlineStr">
        <is>
          <t>INV-0033</t>
        </is>
      </c>
      <c r="C73" s="65" t="inlineStr">
        <is>
          <t>Sharma Kirana Store</t>
        </is>
      </c>
      <c r="D73" s="65" t="inlineStr">
        <is>
          <t>Basmati Rice 25kg</t>
        </is>
      </c>
      <c r="E73" s="66" t="n">
        <v>2</v>
      </c>
      <c r="G73" s="68" t="n">
        <v>0.05</v>
      </c>
      <c r="I73" s="65" t="inlineStr">
        <is>
          <t>Delivered</t>
        </is>
      </c>
    </row>
    <row r="74">
      <c r="A74" s="64" t="n">
        <v>46127</v>
      </c>
      <c r="B74" s="65" t="inlineStr">
        <is>
          <t>INV-0033</t>
        </is>
      </c>
      <c r="C74" s="65" t="inlineStr">
        <is>
          <t>Sharma Kirana Store</t>
        </is>
      </c>
      <c r="D74" s="65" t="inlineStr">
        <is>
          <t>Sugar 50kg</t>
        </is>
      </c>
      <c r="E74" s="66" t="n">
        <v>1</v>
      </c>
      <c r="I74" s="65" t="inlineStr">
        <is>
          <t>Delivered</t>
        </is>
      </c>
    </row>
    <row r="75">
      <c r="A75" s="64" t="n">
        <v>46127</v>
      </c>
      <c r="B75" s="65" t="inlineStr">
        <is>
          <t>INV-0034</t>
        </is>
      </c>
      <c r="C75" s="65" t="inlineStr">
        <is>
          <t>Walk-in Customer</t>
        </is>
      </c>
      <c r="D75" s="65" t="inlineStr">
        <is>
          <t>PVC Pipe 1in 6m</t>
        </is>
      </c>
      <c r="E75" s="66" t="n">
        <v>9</v>
      </c>
      <c r="H75" s="65" t="inlineStr">
        <is>
          <t>Cash</t>
        </is>
      </c>
      <c r="I75" s="65" t="inlineStr">
        <is>
          <t>Delivered</t>
        </is>
      </c>
    </row>
    <row r="76">
      <c r="A76" s="64" t="n">
        <v>46127</v>
      </c>
      <c r="B76" s="65" t="inlineStr">
        <is>
          <t>INV-0034</t>
        </is>
      </c>
      <c r="C76" s="65" t="inlineStr">
        <is>
          <t>Walk-in Customer</t>
        </is>
      </c>
      <c r="D76" s="65" t="inlineStr">
        <is>
          <t>Tea Premium 1kg</t>
        </is>
      </c>
      <c r="E76" s="66" t="n">
        <v>4</v>
      </c>
      <c r="H76" s="65" t="inlineStr">
        <is>
          <t>Cash</t>
        </is>
      </c>
      <c r="I76" s="65" t="inlineStr">
        <is>
          <t>Delivered</t>
        </is>
      </c>
    </row>
    <row r="77">
      <c r="A77" s="64" t="n">
        <v>46127</v>
      </c>
      <c r="B77" s="65" t="inlineStr">
        <is>
          <t>INV-0034</t>
        </is>
      </c>
      <c r="C77" s="65" t="inlineStr">
        <is>
          <t>Walk-in Customer</t>
        </is>
      </c>
      <c r="D77" s="65" t="inlineStr">
        <is>
          <t>Ceiling Fan 1200mm</t>
        </is>
      </c>
      <c r="E77" s="66" t="n">
        <v>1</v>
      </c>
      <c r="H77" s="65" t="inlineStr">
        <is>
          <t>Cash</t>
        </is>
      </c>
      <c r="I77" s="65" t="inlineStr">
        <is>
          <t>Delivered</t>
        </is>
      </c>
    </row>
    <row r="78">
      <c r="A78" s="64" t="n">
        <v>46127</v>
      </c>
      <c r="B78" s="65" t="inlineStr">
        <is>
          <t>INV-0035</t>
        </is>
      </c>
      <c r="C78" s="65" t="inlineStr">
        <is>
          <t>Walk-in Customer</t>
        </is>
      </c>
      <c r="D78" s="65" t="inlineStr">
        <is>
          <t>LED Bulb 9W</t>
        </is>
      </c>
      <c r="E78" s="66" t="n">
        <v>13</v>
      </c>
      <c r="H78" s="65" t="inlineStr">
        <is>
          <t>Cash</t>
        </is>
      </c>
      <c r="I78" s="65" t="inlineStr">
        <is>
          <t>Delivered</t>
        </is>
      </c>
    </row>
    <row r="79">
      <c r="A79" s="64" t="n">
        <v>46128</v>
      </c>
      <c r="B79" s="65" t="inlineStr">
        <is>
          <t>INV-0036</t>
        </is>
      </c>
      <c r="C79" s="65" t="inlineStr">
        <is>
          <t>Walk-in Customer</t>
        </is>
      </c>
      <c r="D79" s="65" t="inlineStr">
        <is>
          <t>Tea Premium 1kg</t>
        </is>
      </c>
      <c r="E79" s="66" t="n">
        <v>3</v>
      </c>
      <c r="H79" s="65" t="inlineStr">
        <is>
          <t>Cash</t>
        </is>
      </c>
      <c r="I79" s="65" t="inlineStr">
        <is>
          <t>Delivered</t>
        </is>
      </c>
    </row>
    <row r="80">
      <c r="A80" s="64" t="n">
        <v>46128</v>
      </c>
      <c r="B80" s="65" t="inlineStr">
        <is>
          <t>INV-0037</t>
        </is>
      </c>
      <c r="C80" s="65" t="inlineStr">
        <is>
          <t>Delhi Hardware Mart</t>
        </is>
      </c>
      <c r="D80" s="65" t="inlineStr">
        <is>
          <t>Detergent 5kg</t>
        </is>
      </c>
      <c r="E80" s="66" t="n">
        <v>3</v>
      </c>
      <c r="I80" s="65" t="inlineStr">
        <is>
          <t>Delivered</t>
        </is>
      </c>
    </row>
    <row r="81">
      <c r="A81" s="64" t="n">
        <v>46128</v>
      </c>
      <c r="B81" s="65" t="inlineStr">
        <is>
          <t>INV-0037</t>
        </is>
      </c>
      <c r="C81" s="65" t="inlineStr">
        <is>
          <t>Delhi Hardware Mart</t>
        </is>
      </c>
      <c r="D81" s="65" t="inlineStr">
        <is>
          <t>Refined Oil 15L</t>
        </is>
      </c>
      <c r="E81" s="66" t="n">
        <v>1</v>
      </c>
      <c r="I81" s="65" t="inlineStr">
        <is>
          <t>Delivered</t>
        </is>
      </c>
    </row>
    <row r="82">
      <c r="A82" s="64" t="n">
        <v>46128</v>
      </c>
      <c r="B82" s="65" t="inlineStr">
        <is>
          <t>INV-0038</t>
        </is>
      </c>
      <c r="C82" s="65" t="inlineStr">
        <is>
          <t>Walk-in Customer</t>
        </is>
      </c>
      <c r="D82" s="65" t="inlineStr">
        <is>
          <t>Refined Oil 15L</t>
        </is>
      </c>
      <c r="E82" s="66" t="n">
        <v>1</v>
      </c>
      <c r="G82" s="68" t="n">
        <v>0.02</v>
      </c>
      <c r="H82" s="65" t="inlineStr">
        <is>
          <t>Cash</t>
        </is>
      </c>
      <c r="I82" s="65" t="inlineStr">
        <is>
          <t>Delivered</t>
        </is>
      </c>
    </row>
    <row r="83">
      <c r="A83" s="64" t="n">
        <v>46128</v>
      </c>
      <c r="B83" s="65" t="inlineStr">
        <is>
          <t>INV-0038</t>
        </is>
      </c>
      <c r="C83" s="65" t="inlineStr">
        <is>
          <t>Walk-in Customer</t>
        </is>
      </c>
      <c r="D83" s="65" t="inlineStr">
        <is>
          <t>A4 Paper Ream</t>
        </is>
      </c>
      <c r="E83" s="66" t="n">
        <v>7</v>
      </c>
      <c r="G83" s="68" t="n">
        <v>0.02</v>
      </c>
      <c r="H83" s="65" t="inlineStr">
        <is>
          <t>Cash</t>
        </is>
      </c>
      <c r="I83" s="65" t="inlineStr">
        <is>
          <t>Delivered</t>
        </is>
      </c>
    </row>
    <row r="84">
      <c r="A84" s="64" t="n">
        <v>46128</v>
      </c>
      <c r="B84" s="65" t="inlineStr">
        <is>
          <t>INV-0038</t>
        </is>
      </c>
      <c r="C84" s="65" t="inlineStr">
        <is>
          <t>Walk-in Customer</t>
        </is>
      </c>
      <c r="D84" s="65" t="inlineStr">
        <is>
          <t>Tea Premium 1kg</t>
        </is>
      </c>
      <c r="E84" s="66" t="n">
        <v>2</v>
      </c>
      <c r="H84" s="65" t="inlineStr">
        <is>
          <t>Cash</t>
        </is>
      </c>
      <c r="I84" s="65" t="inlineStr">
        <is>
          <t>Delivered</t>
        </is>
      </c>
    </row>
    <row r="85">
      <c r="A85" s="64" t="n">
        <v>46129</v>
      </c>
      <c r="B85" s="65" t="inlineStr">
        <is>
          <t>INV-0039</t>
        </is>
      </c>
      <c r="C85" s="65" t="inlineStr">
        <is>
          <t>FMCG Distributors</t>
        </is>
      </c>
      <c r="D85" s="65" t="inlineStr">
        <is>
          <t>Basmati Rice 25kg</t>
        </is>
      </c>
      <c r="E85" s="66" t="n">
        <v>1</v>
      </c>
      <c r="G85" s="68" t="n">
        <v>0.02</v>
      </c>
      <c r="I85" s="65" t="inlineStr">
        <is>
          <t>Delivered</t>
        </is>
      </c>
    </row>
    <row r="86">
      <c r="A86" s="64" t="n">
        <v>46129</v>
      </c>
      <c r="B86" s="65" t="inlineStr">
        <is>
          <t>INV-0039</t>
        </is>
      </c>
      <c r="C86" s="65" t="inlineStr">
        <is>
          <t>FMCG Distributors</t>
        </is>
      </c>
      <c r="D86" s="65" t="inlineStr">
        <is>
          <t>Toothpaste 150g x12</t>
        </is>
      </c>
      <c r="E86" s="66" t="n">
        <v>1</v>
      </c>
      <c r="G86" s="68" t="n">
        <v>0.02</v>
      </c>
      <c r="I86" s="65" t="inlineStr">
        <is>
          <t>Delivered</t>
        </is>
      </c>
    </row>
    <row r="87">
      <c r="A87" s="64" t="n">
        <v>46129</v>
      </c>
      <c r="B87" s="65" t="inlineStr">
        <is>
          <t>INV-0040</t>
        </is>
      </c>
      <c r="C87" s="65" t="inlineStr">
        <is>
          <t>FMCG Distributors</t>
        </is>
      </c>
      <c r="D87" s="65" t="inlineStr">
        <is>
          <t>PVC Pipe 1in 6m</t>
        </is>
      </c>
      <c r="E87" s="66" t="n">
        <v>2</v>
      </c>
      <c r="H87" s="65" t="inlineStr">
        <is>
          <t>Bank</t>
        </is>
      </c>
      <c r="I87" s="65" t="inlineStr">
        <is>
          <t>Delivered</t>
        </is>
      </c>
    </row>
    <row r="88">
      <c r="A88" s="64" t="n">
        <v>46129</v>
      </c>
      <c r="B88" s="65" t="inlineStr">
        <is>
          <t>INV-0040</t>
        </is>
      </c>
      <c r="C88" s="65" t="inlineStr">
        <is>
          <t>FMCG Distributors</t>
        </is>
      </c>
      <c r="D88" s="65" t="inlineStr">
        <is>
          <t>Sugar 50kg</t>
        </is>
      </c>
      <c r="E88" s="66" t="n">
        <v>1</v>
      </c>
      <c r="H88" s="65" t="inlineStr">
        <is>
          <t>Bank</t>
        </is>
      </c>
      <c r="I88" s="65" t="inlineStr">
        <is>
          <t>Delivered</t>
        </is>
      </c>
    </row>
    <row r="89">
      <c r="A89" s="64" t="n">
        <v>46129</v>
      </c>
      <c r="B89" s="65" t="inlineStr">
        <is>
          <t>INV-0041</t>
        </is>
      </c>
      <c r="C89" s="65" t="inlineStr">
        <is>
          <t>Gupta Electricals</t>
        </is>
      </c>
      <c r="D89" s="65" t="inlineStr">
        <is>
          <t>Basmati Rice 25kg</t>
        </is>
      </c>
      <c r="E89" s="66" t="n">
        <v>1</v>
      </c>
      <c r="I89" s="65" t="inlineStr">
        <is>
          <t>Delivered</t>
        </is>
      </c>
    </row>
    <row r="90">
      <c r="A90" s="64" t="n">
        <v>46129</v>
      </c>
      <c r="B90" s="65" t="inlineStr">
        <is>
          <t>INV-0041</t>
        </is>
      </c>
      <c r="C90" s="65" t="inlineStr">
        <is>
          <t>Gupta Electricals</t>
        </is>
      </c>
      <c r="D90" s="65" t="inlineStr">
        <is>
          <t>Refined Oil 15L</t>
        </is>
      </c>
      <c r="E90" s="66" t="n">
        <v>2</v>
      </c>
      <c r="I90" s="65" t="inlineStr">
        <is>
          <t>Delivered</t>
        </is>
      </c>
    </row>
    <row r="91">
      <c r="A91" s="64" t="n">
        <v>46130</v>
      </c>
      <c r="B91" s="65" t="inlineStr">
        <is>
          <t>INV-0042</t>
        </is>
      </c>
      <c r="C91" s="65" t="inlineStr">
        <is>
          <t>Delhi Hardware Mart</t>
        </is>
      </c>
      <c r="D91" s="65" t="inlineStr">
        <is>
          <t>Ceiling Fan 1200mm</t>
        </is>
      </c>
      <c r="E91" s="66" t="n">
        <v>1</v>
      </c>
      <c r="H91" s="65" t="inlineStr">
        <is>
          <t>Bank</t>
        </is>
      </c>
      <c r="I91" s="65" t="inlineStr">
        <is>
          <t>Delivered</t>
        </is>
      </c>
    </row>
    <row r="92">
      <c r="A92" s="64" t="n">
        <v>46130</v>
      </c>
      <c r="B92" s="65" t="inlineStr">
        <is>
          <t>INV-0042</t>
        </is>
      </c>
      <c r="C92" s="65" t="inlineStr">
        <is>
          <t>Delhi Hardware Mart</t>
        </is>
      </c>
      <c r="D92" s="65" t="inlineStr">
        <is>
          <t>Toothpaste 150g x12</t>
        </is>
      </c>
      <c r="E92" s="66" t="n">
        <v>1</v>
      </c>
      <c r="H92" s="65" t="inlineStr">
        <is>
          <t>Bank</t>
        </is>
      </c>
      <c r="I92" s="65" t="inlineStr">
        <is>
          <t>Delivered</t>
        </is>
      </c>
    </row>
    <row r="93">
      <c r="A93" s="64" t="n">
        <v>46130</v>
      </c>
      <c r="B93" s="65" t="inlineStr">
        <is>
          <t>INV-0042</t>
        </is>
      </c>
      <c r="C93" s="65" t="inlineStr">
        <is>
          <t>Delhi Hardware Mart</t>
        </is>
      </c>
      <c r="D93" s="65" t="inlineStr">
        <is>
          <t>Sugar 50kg</t>
        </is>
      </c>
      <c r="E93" s="66" t="n">
        <v>1</v>
      </c>
      <c r="H93" s="65" t="inlineStr">
        <is>
          <t>Bank</t>
        </is>
      </c>
      <c r="I93" s="65" t="inlineStr">
        <is>
          <t>Delivered</t>
        </is>
      </c>
    </row>
    <row r="94">
      <c r="A94" s="64" t="n">
        <v>46130</v>
      </c>
      <c r="B94" s="65" t="inlineStr">
        <is>
          <t>INV-0043</t>
        </is>
      </c>
      <c r="C94" s="65" t="inlineStr">
        <is>
          <t>Gupta Electricals</t>
        </is>
      </c>
      <c r="D94" s="65" t="inlineStr">
        <is>
          <t>Cement 50kg</t>
        </is>
      </c>
      <c r="E94" s="66" t="n">
        <v>11</v>
      </c>
      <c r="I94" s="65" t="inlineStr">
        <is>
          <t>Delivered</t>
        </is>
      </c>
    </row>
    <row r="95">
      <c r="A95" s="64" t="n">
        <v>46130</v>
      </c>
      <c r="B95" s="65" t="inlineStr">
        <is>
          <t>INV-0044</t>
        </is>
      </c>
      <c r="C95" s="65" t="inlineStr">
        <is>
          <t>Mehta Constructions</t>
        </is>
      </c>
      <c r="D95" s="65" t="inlineStr">
        <is>
          <t>Basmati Rice 25kg</t>
        </is>
      </c>
      <c r="E95" s="66" t="n">
        <v>1</v>
      </c>
      <c r="I95" s="65" t="inlineStr">
        <is>
          <t>Delivered</t>
        </is>
      </c>
    </row>
    <row r="96">
      <c r="A96" s="64" t="n">
        <v>46130</v>
      </c>
      <c r="B96" s="65" t="inlineStr">
        <is>
          <t>INV-0044</t>
        </is>
      </c>
      <c r="C96" s="65" t="inlineStr">
        <is>
          <t>Mehta Constructions</t>
        </is>
      </c>
      <c r="D96" s="65" t="inlineStr">
        <is>
          <t>Toothpaste 150g x12</t>
        </is>
      </c>
      <c r="E96" s="66" t="n">
        <v>1</v>
      </c>
      <c r="I96" s="65" t="inlineStr">
        <is>
          <t>Delivered</t>
        </is>
      </c>
    </row>
    <row r="97">
      <c r="A97" s="64" t="n">
        <v>46130</v>
      </c>
      <c r="B97" s="65" t="inlineStr">
        <is>
          <t>INV-0044</t>
        </is>
      </c>
      <c r="C97" s="65" t="inlineStr">
        <is>
          <t>Mehta Constructions</t>
        </is>
      </c>
      <c r="D97" s="65" t="inlineStr">
        <is>
          <t>PVC Pipe 1in 6m</t>
        </is>
      </c>
      <c r="E97" s="66" t="n">
        <v>6</v>
      </c>
      <c r="I97" s="65" t="inlineStr">
        <is>
          <t>Delivered</t>
        </is>
      </c>
    </row>
    <row r="98">
      <c r="A98" s="64" t="n">
        <v>46130</v>
      </c>
      <c r="B98" s="65" t="inlineStr">
        <is>
          <t>INV-0045</t>
        </is>
      </c>
      <c r="C98" s="65" t="inlineStr">
        <is>
          <t>Gupta Electricals</t>
        </is>
      </c>
      <c r="D98" s="65" t="inlineStr">
        <is>
          <t>Basmati Rice 25kg</t>
        </is>
      </c>
      <c r="E98" s="66" t="n">
        <v>1</v>
      </c>
      <c r="I98" s="65" t="inlineStr">
        <is>
          <t>Delivered</t>
        </is>
      </c>
    </row>
    <row r="99">
      <c r="A99" s="64" t="n">
        <v>46130</v>
      </c>
      <c r="B99" s="65" t="inlineStr">
        <is>
          <t>INV-0045</t>
        </is>
      </c>
      <c r="C99" s="65" t="inlineStr">
        <is>
          <t>Gupta Electricals</t>
        </is>
      </c>
      <c r="D99" s="65" t="inlineStr">
        <is>
          <t>Refined Oil 15L</t>
        </is>
      </c>
      <c r="E99" s="66" t="n">
        <v>1</v>
      </c>
      <c r="G99" s="68" t="n">
        <v>0.05</v>
      </c>
      <c r="I99" s="65" t="inlineStr">
        <is>
          <t>Delivered</t>
        </is>
      </c>
    </row>
    <row r="100">
      <c r="A100" s="64" t="n">
        <v>46132</v>
      </c>
      <c r="B100" s="65" t="inlineStr">
        <is>
          <t>INV-0046</t>
        </is>
      </c>
      <c r="C100" s="65" t="inlineStr">
        <is>
          <t>Mehta Constructions</t>
        </is>
      </c>
      <c r="D100" s="65" t="inlineStr">
        <is>
          <t>Detergent 5kg</t>
        </is>
      </c>
      <c r="E100" s="66" t="n">
        <v>3</v>
      </c>
      <c r="H100" s="65" t="inlineStr">
        <is>
          <t>UPI</t>
        </is>
      </c>
      <c r="I100" s="65" t="inlineStr">
        <is>
          <t>Delivered</t>
        </is>
      </c>
    </row>
    <row r="101">
      <c r="A101" s="64" t="n">
        <v>46132</v>
      </c>
      <c r="B101" s="65" t="inlineStr">
        <is>
          <t>INV-0046</t>
        </is>
      </c>
      <c r="C101" s="65" t="inlineStr">
        <is>
          <t>Mehta Constructions</t>
        </is>
      </c>
      <c r="D101" s="65" t="inlineStr">
        <is>
          <t>Toothpaste 150g x12</t>
        </is>
      </c>
      <c r="E101" s="66" t="n">
        <v>1</v>
      </c>
      <c r="H101" s="65" t="inlineStr">
        <is>
          <t>UPI</t>
        </is>
      </c>
      <c r="I101" s="65" t="inlineStr">
        <is>
          <t>Delivered</t>
        </is>
      </c>
    </row>
    <row r="102">
      <c r="A102" s="64" t="n">
        <v>46132</v>
      </c>
      <c r="B102" s="65" t="inlineStr">
        <is>
          <t>INV-0047</t>
        </is>
      </c>
      <c r="C102" s="65" t="inlineStr">
        <is>
          <t>Walk-in Customer</t>
        </is>
      </c>
      <c r="D102" s="65" t="inlineStr">
        <is>
          <t>Tea Premium 1kg</t>
        </is>
      </c>
      <c r="E102" s="66" t="n">
        <v>3</v>
      </c>
      <c r="G102" s="68" t="n">
        <v>0.02</v>
      </c>
      <c r="H102" s="65" t="inlineStr">
        <is>
          <t>Cash</t>
        </is>
      </c>
      <c r="I102" s="65" t="inlineStr">
        <is>
          <t>Delivered</t>
        </is>
      </c>
    </row>
    <row r="103">
      <c r="A103" s="64" t="n">
        <v>46132</v>
      </c>
      <c r="B103" s="65" t="inlineStr">
        <is>
          <t>INV-0047</t>
        </is>
      </c>
      <c r="C103" s="65" t="inlineStr">
        <is>
          <t>Walk-in Customer</t>
        </is>
      </c>
      <c r="D103" s="65" t="inlineStr">
        <is>
          <t>Copper Wire 90m</t>
        </is>
      </c>
      <c r="E103" s="66" t="n">
        <v>1</v>
      </c>
      <c r="G103" s="68" t="n">
        <v>0.05</v>
      </c>
      <c r="H103" s="65" t="inlineStr">
        <is>
          <t>Cash</t>
        </is>
      </c>
      <c r="I103" s="65" t="inlineStr">
        <is>
          <t>Delivered</t>
        </is>
      </c>
    </row>
    <row r="104">
      <c r="A104" s="64" t="n">
        <v>46132</v>
      </c>
      <c r="B104" s="65" t="inlineStr">
        <is>
          <t>INV-0047</t>
        </is>
      </c>
      <c r="C104" s="65" t="inlineStr">
        <is>
          <t>Walk-in Customer</t>
        </is>
      </c>
      <c r="D104" s="65" t="inlineStr">
        <is>
          <t>Sugar 50kg</t>
        </is>
      </c>
      <c r="E104" s="66" t="n">
        <v>1</v>
      </c>
      <c r="G104" s="68" t="n">
        <v>0.02</v>
      </c>
      <c r="H104" s="65" t="inlineStr">
        <is>
          <t>Cash</t>
        </is>
      </c>
      <c r="I104" s="65" t="inlineStr">
        <is>
          <t>Delivered</t>
        </is>
      </c>
    </row>
    <row r="105">
      <c r="A105" s="64" t="n">
        <v>46132</v>
      </c>
      <c r="B105" s="65" t="inlineStr">
        <is>
          <t>INV-0048</t>
        </is>
      </c>
      <c r="C105" s="65" t="inlineStr">
        <is>
          <t>Mehta Constructions</t>
        </is>
      </c>
      <c r="D105" s="65" t="inlineStr">
        <is>
          <t>Toothpaste 150g x12</t>
        </is>
      </c>
      <c r="E105" s="66" t="n">
        <v>2</v>
      </c>
      <c r="I105" s="65" t="inlineStr">
        <is>
          <t>Delivered</t>
        </is>
      </c>
    </row>
    <row r="106">
      <c r="A106" s="64" t="n">
        <v>46132</v>
      </c>
      <c r="B106" s="65" t="inlineStr">
        <is>
          <t>INV-0048</t>
        </is>
      </c>
      <c r="C106" s="65" t="inlineStr">
        <is>
          <t>Mehta Constructions</t>
        </is>
      </c>
      <c r="D106" s="65" t="inlineStr">
        <is>
          <t>Tea Premium 1kg</t>
        </is>
      </c>
      <c r="E106" s="66" t="n">
        <v>2</v>
      </c>
      <c r="I106" s="65" t="inlineStr">
        <is>
          <t>Delivered</t>
        </is>
      </c>
    </row>
    <row r="107">
      <c r="A107" s="64" t="n">
        <v>46133</v>
      </c>
      <c r="B107" s="65" t="inlineStr">
        <is>
          <t>INV-0049</t>
        </is>
      </c>
      <c r="C107" s="65" t="inlineStr">
        <is>
          <t>Delhi Hardware Mart</t>
        </is>
      </c>
      <c r="D107" s="65" t="inlineStr">
        <is>
          <t>A4 Paper Ream</t>
        </is>
      </c>
      <c r="E107" s="66" t="n">
        <v>5</v>
      </c>
      <c r="I107" s="65" t="inlineStr">
        <is>
          <t>Delivered</t>
        </is>
      </c>
    </row>
    <row r="108">
      <c r="A108" s="64" t="n">
        <v>46133</v>
      </c>
      <c r="B108" s="65" t="inlineStr">
        <is>
          <t>INV-0050</t>
        </is>
      </c>
      <c r="C108" s="65" t="inlineStr">
        <is>
          <t>Walk-in Customer</t>
        </is>
      </c>
      <c r="D108" s="65" t="inlineStr">
        <is>
          <t>Basmati Rice 25kg</t>
        </is>
      </c>
      <c r="E108" s="66" t="n">
        <v>1</v>
      </c>
      <c r="G108" s="68" t="n">
        <v>0.02</v>
      </c>
      <c r="H108" s="65" t="inlineStr">
        <is>
          <t>Cash</t>
        </is>
      </c>
      <c r="I108" s="65" t="inlineStr">
        <is>
          <t>Delivered</t>
        </is>
      </c>
    </row>
    <row r="109">
      <c r="A109" s="64" t="n">
        <v>46133</v>
      </c>
      <c r="B109" s="65" t="inlineStr">
        <is>
          <t>INV-0050</t>
        </is>
      </c>
      <c r="C109" s="65" t="inlineStr">
        <is>
          <t>Walk-in Customer</t>
        </is>
      </c>
      <c r="D109" s="65" t="inlineStr">
        <is>
          <t>Sugar 50kg</t>
        </is>
      </c>
      <c r="E109" s="66" t="n">
        <v>1</v>
      </c>
      <c r="H109" s="65" t="inlineStr">
        <is>
          <t>Cash</t>
        </is>
      </c>
      <c r="I109" s="65" t="inlineStr">
        <is>
          <t>Delivered</t>
        </is>
      </c>
    </row>
    <row r="110">
      <c r="A110" s="64" t="n">
        <v>46134</v>
      </c>
      <c r="B110" s="65" t="inlineStr">
        <is>
          <t>INV-0051</t>
        </is>
      </c>
      <c r="C110" s="65" t="inlineStr">
        <is>
          <t>Mehta Constructions</t>
        </is>
      </c>
      <c r="D110" s="65" t="inlineStr">
        <is>
          <t>Refined Oil 15L</t>
        </is>
      </c>
      <c r="E110" s="66" t="n">
        <v>1</v>
      </c>
      <c r="I110" s="65" t="inlineStr">
        <is>
          <t>Delivered</t>
        </is>
      </c>
    </row>
    <row r="111">
      <c r="A111" s="64" t="n">
        <v>46134</v>
      </c>
      <c r="B111" s="65" t="inlineStr">
        <is>
          <t>INV-0051</t>
        </is>
      </c>
      <c r="C111" s="65" t="inlineStr">
        <is>
          <t>Mehta Constructions</t>
        </is>
      </c>
      <c r="D111" s="65" t="inlineStr">
        <is>
          <t>Ceiling Fan 1200mm</t>
        </is>
      </c>
      <c r="E111" s="66" t="n">
        <v>1</v>
      </c>
      <c r="I111" s="65" t="inlineStr">
        <is>
          <t>Delivered</t>
        </is>
      </c>
    </row>
    <row r="112">
      <c r="A112" s="64" t="n">
        <v>46134</v>
      </c>
      <c r="B112" s="65" t="inlineStr">
        <is>
          <t>INV-0051</t>
        </is>
      </c>
      <c r="C112" s="65" t="inlineStr">
        <is>
          <t>Mehta Constructions</t>
        </is>
      </c>
      <c r="D112" s="65" t="inlineStr">
        <is>
          <t>Detergent 5kg</t>
        </is>
      </c>
      <c r="E112" s="66" t="n">
        <v>3</v>
      </c>
      <c r="G112" s="68" t="n">
        <v>0.05</v>
      </c>
      <c r="I112" s="65" t="inlineStr">
        <is>
          <t>Delivered</t>
        </is>
      </c>
    </row>
    <row r="113">
      <c r="A113" s="64" t="n">
        <v>46134</v>
      </c>
      <c r="B113" s="65" t="inlineStr">
        <is>
          <t>INV-0052</t>
        </is>
      </c>
      <c r="C113" s="65" t="inlineStr">
        <is>
          <t>FMCG Distributors</t>
        </is>
      </c>
      <c r="D113" s="65" t="inlineStr">
        <is>
          <t>Detergent 5kg</t>
        </is>
      </c>
      <c r="E113" s="66" t="n">
        <v>1</v>
      </c>
      <c r="I113" s="65" t="inlineStr">
        <is>
          <t>Delivered</t>
        </is>
      </c>
    </row>
    <row r="114">
      <c r="A114" s="64" t="n">
        <v>46134</v>
      </c>
      <c r="B114" s="65" t="inlineStr">
        <is>
          <t>INV-0053</t>
        </is>
      </c>
      <c r="C114" s="65" t="inlineStr">
        <is>
          <t>Sharma Kirana Store</t>
        </is>
      </c>
      <c r="D114" s="65" t="inlineStr">
        <is>
          <t>Sugar 50kg</t>
        </is>
      </c>
      <c r="E114" s="66" t="n">
        <v>1</v>
      </c>
      <c r="I114" s="65" t="inlineStr">
        <is>
          <t>Delivered</t>
        </is>
      </c>
    </row>
    <row r="115">
      <c r="A115" s="64" t="n">
        <v>46134</v>
      </c>
      <c r="B115" s="65" t="inlineStr">
        <is>
          <t>INV-0053</t>
        </is>
      </c>
      <c r="C115" s="65" t="inlineStr">
        <is>
          <t>Sharma Kirana Store</t>
        </is>
      </c>
      <c r="D115" s="65" t="inlineStr">
        <is>
          <t>Copper Wire 90m</t>
        </is>
      </c>
      <c r="E115" s="66" t="n">
        <v>1</v>
      </c>
      <c r="I115" s="65" t="inlineStr">
        <is>
          <t>Delivered</t>
        </is>
      </c>
    </row>
    <row r="116">
      <c r="A116" s="64" t="n">
        <v>46134</v>
      </c>
      <c r="B116" s="65" t="inlineStr">
        <is>
          <t>INV-0053</t>
        </is>
      </c>
      <c r="C116" s="65" t="inlineStr">
        <is>
          <t>Sharma Kirana Store</t>
        </is>
      </c>
      <c r="D116" s="65" t="inlineStr">
        <is>
          <t>Detergent 5kg</t>
        </is>
      </c>
      <c r="E116" s="66" t="n">
        <v>1</v>
      </c>
      <c r="I116" s="65" t="inlineStr">
        <is>
          <t>Delivered</t>
        </is>
      </c>
    </row>
    <row r="117">
      <c r="A117" s="64" t="n">
        <v>46135</v>
      </c>
      <c r="B117" s="65" t="inlineStr">
        <is>
          <t>INV-0054</t>
        </is>
      </c>
      <c r="C117" s="65" t="inlineStr">
        <is>
          <t>Walk-in Customer</t>
        </is>
      </c>
      <c r="D117" s="65" t="inlineStr">
        <is>
          <t>LED Bulb 9W</t>
        </is>
      </c>
      <c r="E117" s="66" t="n">
        <v>5</v>
      </c>
      <c r="H117" s="65" t="inlineStr">
        <is>
          <t>Cash</t>
        </is>
      </c>
      <c r="I117" s="65" t="inlineStr">
        <is>
          <t>Delivered</t>
        </is>
      </c>
    </row>
    <row r="118">
      <c r="A118" s="64" t="n">
        <v>46135</v>
      </c>
      <c r="B118" s="65" t="inlineStr">
        <is>
          <t>INV-0055</t>
        </is>
      </c>
      <c r="C118" s="65" t="inlineStr">
        <is>
          <t>Walk-in Customer</t>
        </is>
      </c>
      <c r="D118" s="65" t="inlineStr">
        <is>
          <t>Cement 50kg</t>
        </is>
      </c>
      <c r="E118" s="66" t="n">
        <v>12</v>
      </c>
      <c r="H118" s="65" t="inlineStr">
        <is>
          <t>Cash</t>
        </is>
      </c>
      <c r="I118" s="65" t="inlineStr">
        <is>
          <t>Delivered</t>
        </is>
      </c>
    </row>
    <row r="119">
      <c r="A119" s="64" t="n">
        <v>46135</v>
      </c>
      <c r="B119" s="65" t="inlineStr">
        <is>
          <t>INV-0056</t>
        </is>
      </c>
      <c r="C119" s="65" t="inlineStr">
        <is>
          <t>Walk-in Customer</t>
        </is>
      </c>
      <c r="D119" s="65" t="inlineStr">
        <is>
          <t>Ceiling Fan 1200mm</t>
        </is>
      </c>
      <c r="E119" s="66" t="n">
        <v>1</v>
      </c>
      <c r="G119" s="68" t="n">
        <v>0.05</v>
      </c>
      <c r="H119" s="65" t="inlineStr">
        <is>
          <t>Cash</t>
        </is>
      </c>
      <c r="I119" s="65" t="inlineStr">
        <is>
          <t>Delivered</t>
        </is>
      </c>
    </row>
    <row r="120">
      <c r="A120" s="64" t="n">
        <v>46135</v>
      </c>
      <c r="B120" s="65" t="inlineStr">
        <is>
          <t>INV-0056</t>
        </is>
      </c>
      <c r="C120" s="65" t="inlineStr">
        <is>
          <t>Walk-in Customer</t>
        </is>
      </c>
      <c r="D120" s="65" t="inlineStr">
        <is>
          <t>Copper Wire 90m</t>
        </is>
      </c>
      <c r="E120" s="66" t="n">
        <v>1</v>
      </c>
      <c r="H120" s="65" t="inlineStr">
        <is>
          <t>Cash</t>
        </is>
      </c>
      <c r="I120" s="65" t="inlineStr">
        <is>
          <t>Delivered</t>
        </is>
      </c>
    </row>
    <row r="121">
      <c r="A121" s="64" t="n">
        <v>46136</v>
      </c>
      <c r="B121" s="65" t="inlineStr">
        <is>
          <t>INV-0057</t>
        </is>
      </c>
      <c r="C121" s="65" t="inlineStr">
        <is>
          <t>Delhi Hardware Mart</t>
        </is>
      </c>
      <c r="D121" s="65" t="inlineStr">
        <is>
          <t>A4 Paper Ream</t>
        </is>
      </c>
      <c r="E121" s="66" t="n">
        <v>5</v>
      </c>
      <c r="H121" s="65" t="inlineStr">
        <is>
          <t>Bank</t>
        </is>
      </c>
      <c r="I121" s="65" t="inlineStr">
        <is>
          <t>Delivered</t>
        </is>
      </c>
    </row>
    <row r="122">
      <c r="A122" s="64" t="n">
        <v>46136</v>
      </c>
      <c r="B122" s="65" t="inlineStr">
        <is>
          <t>INV-0058</t>
        </is>
      </c>
      <c r="C122" s="65" t="inlineStr">
        <is>
          <t>Gupta Electricals</t>
        </is>
      </c>
      <c r="D122" s="65" t="inlineStr">
        <is>
          <t>Refined Oil 15L</t>
        </is>
      </c>
      <c r="E122" s="66" t="n">
        <v>1</v>
      </c>
      <c r="I122" s="65" t="inlineStr">
        <is>
          <t>Delivered</t>
        </is>
      </c>
    </row>
    <row r="123">
      <c r="A123" s="64" t="n">
        <v>46136</v>
      </c>
      <c r="B123" s="65" t="inlineStr">
        <is>
          <t>INV-0059</t>
        </is>
      </c>
      <c r="C123" s="65" t="inlineStr">
        <is>
          <t>Walk-in Customer</t>
        </is>
      </c>
      <c r="D123" s="65" t="inlineStr">
        <is>
          <t>PVC Pipe 1in 6m</t>
        </is>
      </c>
      <c r="E123" s="66" t="n">
        <v>7</v>
      </c>
      <c r="H123" s="65" t="inlineStr">
        <is>
          <t>Cash</t>
        </is>
      </c>
      <c r="I123" s="65" t="inlineStr">
        <is>
          <t>Delivered</t>
        </is>
      </c>
    </row>
    <row r="124">
      <c r="A124" s="64" t="n">
        <v>46136</v>
      </c>
      <c r="B124" s="65" t="inlineStr">
        <is>
          <t>INV-0059</t>
        </is>
      </c>
      <c r="C124" s="65" t="inlineStr">
        <is>
          <t>Walk-in Customer</t>
        </is>
      </c>
      <c r="D124" s="65" t="inlineStr">
        <is>
          <t>Basmati Rice 25kg</t>
        </is>
      </c>
      <c r="E124" s="66" t="n">
        <v>1</v>
      </c>
      <c r="H124" s="65" t="inlineStr">
        <is>
          <t>Cash</t>
        </is>
      </c>
      <c r="I124" s="65" t="inlineStr">
        <is>
          <t>Delivered</t>
        </is>
      </c>
    </row>
    <row r="125">
      <c r="A125" s="64" t="n">
        <v>46136</v>
      </c>
      <c r="B125" s="65" t="inlineStr">
        <is>
          <t>INV-0059</t>
        </is>
      </c>
      <c r="C125" s="65" t="inlineStr">
        <is>
          <t>Walk-in Customer</t>
        </is>
      </c>
      <c r="D125" s="65" t="inlineStr">
        <is>
          <t>A4 Paper Ream</t>
        </is>
      </c>
      <c r="E125" s="66" t="n">
        <v>4</v>
      </c>
      <c r="H125" s="65" t="inlineStr">
        <is>
          <t>Cash</t>
        </is>
      </c>
      <c r="I125" s="65" t="inlineStr">
        <is>
          <t>Delivered</t>
        </is>
      </c>
    </row>
    <row r="126">
      <c r="A126" s="64" t="n">
        <v>46136</v>
      </c>
      <c r="B126" s="65" t="inlineStr">
        <is>
          <t>INV-0060</t>
        </is>
      </c>
      <c r="C126" s="65" t="inlineStr">
        <is>
          <t>Gupta Electricals</t>
        </is>
      </c>
      <c r="D126" s="65" t="inlineStr">
        <is>
          <t>Ceiling Fan 1200mm</t>
        </is>
      </c>
      <c r="E126" s="66" t="n">
        <v>1</v>
      </c>
      <c r="H126" s="65" t="inlineStr">
        <is>
          <t>Bank</t>
        </is>
      </c>
      <c r="I126" s="65" t="inlineStr">
        <is>
          <t>Delivered</t>
        </is>
      </c>
    </row>
    <row r="127">
      <c r="A127" s="64" t="n">
        <v>46137</v>
      </c>
      <c r="B127" s="65" t="inlineStr">
        <is>
          <t>INV-0061</t>
        </is>
      </c>
      <c r="C127" s="65" t="inlineStr">
        <is>
          <t>Mehta Constructions</t>
        </is>
      </c>
      <c r="D127" s="65" t="inlineStr">
        <is>
          <t>Tea Premium 1kg</t>
        </is>
      </c>
      <c r="E127" s="66" t="n">
        <v>4</v>
      </c>
      <c r="G127" s="68" t="n">
        <v>0.02</v>
      </c>
      <c r="I127" s="65" t="inlineStr">
        <is>
          <t>Delivered</t>
        </is>
      </c>
    </row>
    <row r="128">
      <c r="A128" s="64" t="n">
        <v>46137</v>
      </c>
      <c r="B128" s="65" t="inlineStr">
        <is>
          <t>INV-0061</t>
        </is>
      </c>
      <c r="C128" s="65" t="inlineStr">
        <is>
          <t>Mehta Constructions</t>
        </is>
      </c>
      <c r="D128" s="65" t="inlineStr">
        <is>
          <t>A4 Paper Ream</t>
        </is>
      </c>
      <c r="E128" s="66" t="n">
        <v>6</v>
      </c>
      <c r="I128" s="65" t="inlineStr">
        <is>
          <t>Delivered</t>
        </is>
      </c>
    </row>
    <row r="129">
      <c r="A129" s="64" t="n">
        <v>46137</v>
      </c>
      <c r="B129" s="65" t="inlineStr">
        <is>
          <t>INV-0062</t>
        </is>
      </c>
      <c r="C129" s="65" t="inlineStr">
        <is>
          <t>Walk-in Customer</t>
        </is>
      </c>
      <c r="D129" s="65" t="inlineStr">
        <is>
          <t>Basmati Rice 25kg</t>
        </is>
      </c>
      <c r="E129" s="66" t="n">
        <v>1</v>
      </c>
      <c r="H129" s="65" t="inlineStr">
        <is>
          <t>Cash</t>
        </is>
      </c>
      <c r="I129" s="65" t="inlineStr">
        <is>
          <t>Delivered</t>
        </is>
      </c>
    </row>
    <row r="130">
      <c r="A130" s="64" t="n">
        <v>46137</v>
      </c>
      <c r="B130" s="65" t="inlineStr">
        <is>
          <t>INV-0062</t>
        </is>
      </c>
      <c r="C130" s="65" t="inlineStr">
        <is>
          <t>Walk-in Customer</t>
        </is>
      </c>
      <c r="D130" s="65" t="inlineStr">
        <is>
          <t>Cement 50kg</t>
        </is>
      </c>
      <c r="E130" s="66" t="n">
        <v>3</v>
      </c>
      <c r="H130" s="65" t="inlineStr">
        <is>
          <t>Cash</t>
        </is>
      </c>
      <c r="I130" s="65" t="inlineStr">
        <is>
          <t>Delivered</t>
        </is>
      </c>
    </row>
    <row r="131">
      <c r="A131" s="64" t="n">
        <v>46139</v>
      </c>
      <c r="B131" s="65" t="inlineStr">
        <is>
          <t>INV-0063</t>
        </is>
      </c>
      <c r="C131" s="65" t="inlineStr">
        <is>
          <t>Gupta Electricals</t>
        </is>
      </c>
      <c r="D131" s="65" t="inlineStr">
        <is>
          <t>Detergent 5kg</t>
        </is>
      </c>
      <c r="E131" s="66" t="n">
        <v>3</v>
      </c>
      <c r="H131" s="65" t="inlineStr">
        <is>
          <t>Bank</t>
        </is>
      </c>
      <c r="I131" s="65" t="inlineStr">
        <is>
          <t>Delivered</t>
        </is>
      </c>
    </row>
    <row r="132">
      <c r="A132" s="64" t="n">
        <v>46139</v>
      </c>
      <c r="B132" s="65" t="inlineStr">
        <is>
          <t>INV-0063</t>
        </is>
      </c>
      <c r="C132" s="65" t="inlineStr">
        <is>
          <t>Gupta Electricals</t>
        </is>
      </c>
      <c r="D132" s="65" t="inlineStr">
        <is>
          <t>Sugar 50kg</t>
        </is>
      </c>
      <c r="E132" s="66" t="n">
        <v>1</v>
      </c>
      <c r="H132" s="65" t="inlineStr">
        <is>
          <t>Bank</t>
        </is>
      </c>
      <c r="I132" s="65" t="inlineStr">
        <is>
          <t>Delivered</t>
        </is>
      </c>
    </row>
    <row r="133">
      <c r="A133" s="64" t="n">
        <v>46139</v>
      </c>
      <c r="B133" s="65" t="inlineStr">
        <is>
          <t>INV-0064</t>
        </is>
      </c>
      <c r="C133" s="65" t="inlineStr">
        <is>
          <t>Walk-in Customer</t>
        </is>
      </c>
      <c r="D133" s="65" t="inlineStr">
        <is>
          <t>LED Bulb 9W</t>
        </is>
      </c>
      <c r="E133" s="66" t="n">
        <v>23</v>
      </c>
      <c r="H133" s="65" t="inlineStr">
        <is>
          <t>Cash</t>
        </is>
      </c>
      <c r="I133" s="65" t="inlineStr">
        <is>
          <t>Delivered</t>
        </is>
      </c>
    </row>
    <row r="134">
      <c r="A134" s="64" t="n">
        <v>46139</v>
      </c>
      <c r="B134" s="65" t="inlineStr">
        <is>
          <t>INV-0064</t>
        </is>
      </c>
      <c r="C134" s="65" t="inlineStr">
        <is>
          <t>Walk-in Customer</t>
        </is>
      </c>
      <c r="D134" s="65" t="inlineStr">
        <is>
          <t>Tea Premium 1kg</t>
        </is>
      </c>
      <c r="E134" s="66" t="n">
        <v>1</v>
      </c>
      <c r="H134" s="65" t="inlineStr">
        <is>
          <t>Cash</t>
        </is>
      </c>
      <c r="I134" s="65" t="inlineStr">
        <is>
          <t>Delivered</t>
        </is>
      </c>
    </row>
    <row r="135">
      <c r="A135" s="64" t="n">
        <v>46139</v>
      </c>
      <c r="B135" s="65" t="inlineStr">
        <is>
          <t>INV-0065</t>
        </is>
      </c>
      <c r="C135" s="65" t="inlineStr">
        <is>
          <t>Delhi Hardware Mart</t>
        </is>
      </c>
      <c r="D135" s="65" t="inlineStr">
        <is>
          <t>Toothpaste 150g x12</t>
        </is>
      </c>
      <c r="E135" s="66" t="n">
        <v>1</v>
      </c>
      <c r="G135" s="68" t="n">
        <v>0.05</v>
      </c>
      <c r="H135" s="65" t="inlineStr">
        <is>
          <t>Bank</t>
        </is>
      </c>
      <c r="I135" s="65" t="inlineStr">
        <is>
          <t>Delivered</t>
        </is>
      </c>
    </row>
    <row r="136">
      <c r="A136" s="64" t="n">
        <v>46139</v>
      </c>
      <c r="B136" s="65" t="inlineStr">
        <is>
          <t>INV-0065</t>
        </is>
      </c>
      <c r="C136" s="65" t="inlineStr">
        <is>
          <t>Delhi Hardware Mart</t>
        </is>
      </c>
      <c r="D136" s="65" t="inlineStr">
        <is>
          <t>Refined Oil 15L</t>
        </is>
      </c>
      <c r="E136" s="66" t="n">
        <v>1</v>
      </c>
      <c r="H136" s="65" t="inlineStr">
        <is>
          <t>Bank</t>
        </is>
      </c>
      <c r="I136" s="65" t="inlineStr">
        <is>
          <t>Delivered</t>
        </is>
      </c>
    </row>
    <row r="137">
      <c r="A137" s="64" t="n">
        <v>46139</v>
      </c>
      <c r="B137" s="65" t="inlineStr">
        <is>
          <t>INV-0066</t>
        </is>
      </c>
      <c r="C137" s="65" t="inlineStr">
        <is>
          <t>FMCG Distributors</t>
        </is>
      </c>
      <c r="D137" s="65" t="inlineStr">
        <is>
          <t>Copper Wire 90m</t>
        </is>
      </c>
      <c r="E137" s="66" t="n">
        <v>1</v>
      </c>
      <c r="G137" s="68" t="n">
        <v>0.02</v>
      </c>
      <c r="I137" s="65" t="inlineStr">
        <is>
          <t>Delivered</t>
        </is>
      </c>
    </row>
    <row r="138">
      <c r="A138" s="64" t="n">
        <v>46139</v>
      </c>
      <c r="B138" s="65" t="inlineStr">
        <is>
          <t>INV-0066</t>
        </is>
      </c>
      <c r="C138" s="65" t="inlineStr">
        <is>
          <t>FMCG Distributors</t>
        </is>
      </c>
      <c r="D138" s="65" t="inlineStr">
        <is>
          <t>LED Bulb 9W</t>
        </is>
      </c>
      <c r="E138" s="66" t="n">
        <v>18</v>
      </c>
      <c r="G138" s="68" t="n">
        <v>0.02</v>
      </c>
      <c r="I138" s="65" t="inlineStr">
        <is>
          <t>Delivered</t>
        </is>
      </c>
    </row>
    <row r="139">
      <c r="A139" s="64" t="n">
        <v>46139</v>
      </c>
      <c r="B139" s="65" t="inlineStr">
        <is>
          <t>INV-0066</t>
        </is>
      </c>
      <c r="C139" s="65" t="inlineStr">
        <is>
          <t>FMCG Distributors</t>
        </is>
      </c>
      <c r="D139" s="65" t="inlineStr">
        <is>
          <t>Basmati Rice 25kg</t>
        </is>
      </c>
      <c r="E139" s="66" t="n">
        <v>1</v>
      </c>
      <c r="I139" s="65" t="inlineStr">
        <is>
          <t>Delivered</t>
        </is>
      </c>
    </row>
    <row r="140">
      <c r="A140" s="64" t="n">
        <v>46140</v>
      </c>
      <c r="B140" s="65" t="inlineStr">
        <is>
          <t>INV-0067</t>
        </is>
      </c>
      <c r="C140" s="65" t="inlineStr">
        <is>
          <t>FMCG Distributors</t>
        </is>
      </c>
      <c r="D140" s="65" t="inlineStr">
        <is>
          <t>Sugar 50kg</t>
        </is>
      </c>
      <c r="E140" s="66" t="n">
        <v>1</v>
      </c>
      <c r="H140" s="65" t="inlineStr">
        <is>
          <t>UPI</t>
        </is>
      </c>
      <c r="I140" s="65" t="inlineStr">
        <is>
          <t>Delivered</t>
        </is>
      </c>
    </row>
    <row r="141">
      <c r="A141" s="64" t="n">
        <v>46140</v>
      </c>
      <c r="B141" s="65" t="inlineStr">
        <is>
          <t>INV-0067</t>
        </is>
      </c>
      <c r="C141" s="65" t="inlineStr">
        <is>
          <t>FMCG Distributors</t>
        </is>
      </c>
      <c r="D141" s="65" t="inlineStr">
        <is>
          <t>Toothpaste 150g x12</t>
        </is>
      </c>
      <c r="E141" s="66" t="n">
        <v>2</v>
      </c>
      <c r="H141" s="65" t="inlineStr">
        <is>
          <t>UPI</t>
        </is>
      </c>
      <c r="I141" s="65" t="inlineStr">
        <is>
          <t>Delivered</t>
        </is>
      </c>
    </row>
    <row r="142">
      <c r="A142" s="64" t="n">
        <v>46140</v>
      </c>
      <c r="B142" s="65" t="inlineStr">
        <is>
          <t>INV-0068</t>
        </is>
      </c>
      <c r="C142" s="65" t="inlineStr">
        <is>
          <t>Walk-in Customer</t>
        </is>
      </c>
      <c r="D142" s="65" t="inlineStr">
        <is>
          <t>Ceiling Fan 1200mm</t>
        </is>
      </c>
      <c r="E142" s="66" t="n">
        <v>1</v>
      </c>
      <c r="H142" s="65" t="inlineStr">
        <is>
          <t>Cash</t>
        </is>
      </c>
      <c r="I142" s="65" t="inlineStr">
        <is>
          <t>Delivered</t>
        </is>
      </c>
    </row>
    <row r="143">
      <c r="A143" s="64" t="n">
        <v>46140</v>
      </c>
      <c r="B143" s="65" t="inlineStr">
        <is>
          <t>INV-0069</t>
        </is>
      </c>
      <c r="C143" s="65" t="inlineStr">
        <is>
          <t>Gupta Electricals</t>
        </is>
      </c>
      <c r="D143" s="65" t="inlineStr">
        <is>
          <t>Cement 50kg</t>
        </is>
      </c>
      <c r="E143" s="66" t="n">
        <v>11</v>
      </c>
      <c r="H143" s="65" t="inlineStr">
        <is>
          <t>UPI</t>
        </is>
      </c>
      <c r="I143" s="65" t="inlineStr">
        <is>
          <t>Delivered</t>
        </is>
      </c>
    </row>
    <row r="144">
      <c r="A144" s="64" t="n">
        <v>46140</v>
      </c>
      <c r="B144" s="65" t="inlineStr">
        <is>
          <t>INV-0069</t>
        </is>
      </c>
      <c r="C144" s="65" t="inlineStr">
        <is>
          <t>Gupta Electricals</t>
        </is>
      </c>
      <c r="D144" s="65" t="inlineStr">
        <is>
          <t>Sugar 50kg</t>
        </is>
      </c>
      <c r="E144" s="66" t="n">
        <v>1</v>
      </c>
      <c r="H144" s="65" t="inlineStr">
        <is>
          <t>UPI</t>
        </is>
      </c>
      <c r="I144" s="65" t="inlineStr">
        <is>
          <t>Delivered</t>
        </is>
      </c>
    </row>
    <row r="145">
      <c r="A145" s="64" t="n">
        <v>46140</v>
      </c>
      <c r="B145" s="65" t="inlineStr">
        <is>
          <t>INV-0069</t>
        </is>
      </c>
      <c r="C145" s="65" t="inlineStr">
        <is>
          <t>Gupta Electricals</t>
        </is>
      </c>
      <c r="D145" s="65" t="inlineStr">
        <is>
          <t>Toothpaste 150g x12</t>
        </is>
      </c>
      <c r="E145" s="66" t="n">
        <v>1</v>
      </c>
      <c r="H145" s="65" t="inlineStr">
        <is>
          <t>UPI</t>
        </is>
      </c>
      <c r="I145" s="65" t="inlineStr">
        <is>
          <t>Delivered</t>
        </is>
      </c>
    </row>
    <row r="146">
      <c r="A146" s="64" t="n">
        <v>46140</v>
      </c>
      <c r="B146" s="65" t="inlineStr">
        <is>
          <t>INV-0070</t>
        </is>
      </c>
      <c r="C146" s="65" t="inlineStr">
        <is>
          <t>Delhi Hardware Mart</t>
        </is>
      </c>
      <c r="D146" s="65" t="inlineStr">
        <is>
          <t>LED Bulb 9W</t>
        </is>
      </c>
      <c r="E146" s="66" t="n">
        <v>11</v>
      </c>
      <c r="I146" s="65" t="inlineStr">
        <is>
          <t>Delivered</t>
        </is>
      </c>
    </row>
    <row r="147">
      <c r="A147" s="64" t="n">
        <v>46140</v>
      </c>
      <c r="B147" s="65" t="inlineStr">
        <is>
          <t>INV-0070</t>
        </is>
      </c>
      <c r="C147" s="65" t="inlineStr">
        <is>
          <t>Delhi Hardware Mart</t>
        </is>
      </c>
      <c r="D147" s="65" t="inlineStr">
        <is>
          <t>PVC Pipe 1in 6m</t>
        </is>
      </c>
      <c r="E147" s="66" t="n">
        <v>8</v>
      </c>
      <c r="G147" s="68" t="n">
        <v>0.02</v>
      </c>
      <c r="I147" s="65" t="inlineStr">
        <is>
          <t>Delivered</t>
        </is>
      </c>
    </row>
    <row r="148">
      <c r="A148" s="64" t="n">
        <v>46141</v>
      </c>
      <c r="B148" s="65" t="inlineStr">
        <is>
          <t>INV-0071</t>
        </is>
      </c>
      <c r="C148" s="65" t="inlineStr">
        <is>
          <t>Walk-in Customer</t>
        </is>
      </c>
      <c r="D148" s="65" t="inlineStr">
        <is>
          <t>Ceiling Fan 1200mm</t>
        </is>
      </c>
      <c r="E148" s="66" t="n">
        <v>1</v>
      </c>
      <c r="G148" s="68" t="n">
        <v>0.02</v>
      </c>
      <c r="H148" s="65" t="inlineStr">
        <is>
          <t>Cash</t>
        </is>
      </c>
      <c r="I148" s="65" t="inlineStr">
        <is>
          <t>Delivered</t>
        </is>
      </c>
    </row>
    <row r="149">
      <c r="A149" s="64" t="n">
        <v>46141</v>
      </c>
      <c r="B149" s="65" t="inlineStr">
        <is>
          <t>INV-0071</t>
        </is>
      </c>
      <c r="C149" s="65" t="inlineStr">
        <is>
          <t>Walk-in Customer</t>
        </is>
      </c>
      <c r="D149" s="65" t="inlineStr">
        <is>
          <t>Sugar 50kg</t>
        </is>
      </c>
      <c r="E149" s="66" t="n">
        <v>1</v>
      </c>
      <c r="H149" s="65" t="inlineStr">
        <is>
          <t>Cash</t>
        </is>
      </c>
      <c r="I149" s="65" t="inlineStr">
        <is>
          <t>Delivered</t>
        </is>
      </c>
    </row>
    <row r="150">
      <c r="A150" s="64" t="n">
        <v>46141</v>
      </c>
      <c r="B150" s="65" t="inlineStr">
        <is>
          <t>INV-0072</t>
        </is>
      </c>
      <c r="C150" s="65" t="inlineStr">
        <is>
          <t>Mehta Constructions</t>
        </is>
      </c>
      <c r="D150" s="65" t="inlineStr">
        <is>
          <t>PVC Pipe 1in 6m</t>
        </is>
      </c>
      <c r="E150" s="66" t="n">
        <v>3</v>
      </c>
      <c r="G150" s="68" t="n">
        <v>0.02</v>
      </c>
      <c r="H150" s="65" t="inlineStr">
        <is>
          <t>UPI</t>
        </is>
      </c>
      <c r="I150" s="65" t="inlineStr">
        <is>
          <t>Delivered</t>
        </is>
      </c>
    </row>
    <row r="151">
      <c r="A151" s="64" t="n">
        <v>46142</v>
      </c>
      <c r="B151" s="65" t="inlineStr">
        <is>
          <t>INV-0073</t>
        </is>
      </c>
      <c r="C151" s="65" t="inlineStr">
        <is>
          <t>FMCG Distributors</t>
        </is>
      </c>
      <c r="D151" s="65" t="inlineStr">
        <is>
          <t>Detergent 5kg</t>
        </is>
      </c>
      <c r="E151" s="66" t="n">
        <v>1</v>
      </c>
      <c r="I151" s="65" t="inlineStr">
        <is>
          <t>Delivered</t>
        </is>
      </c>
    </row>
    <row r="152">
      <c r="A152" s="64" t="n">
        <v>46142</v>
      </c>
      <c r="B152" s="65" t="inlineStr">
        <is>
          <t>INV-0073</t>
        </is>
      </c>
      <c r="C152" s="65" t="inlineStr">
        <is>
          <t>FMCG Distributors</t>
        </is>
      </c>
      <c r="D152" s="65" t="inlineStr">
        <is>
          <t>A4 Paper Ream</t>
        </is>
      </c>
      <c r="E152" s="66" t="n">
        <v>3</v>
      </c>
      <c r="G152" s="68" t="n">
        <v>0.05</v>
      </c>
      <c r="I152" s="65" t="inlineStr">
        <is>
          <t>Delivered</t>
        </is>
      </c>
    </row>
    <row r="153">
      <c r="A153" s="64" t="n">
        <v>46142</v>
      </c>
      <c r="B153" s="65" t="inlineStr">
        <is>
          <t>INV-0074</t>
        </is>
      </c>
      <c r="C153" s="65" t="inlineStr">
        <is>
          <t>Walk-in Customer</t>
        </is>
      </c>
      <c r="D153" s="65" t="inlineStr">
        <is>
          <t>Refined Oil 15L</t>
        </is>
      </c>
      <c r="E153" s="66" t="n">
        <v>1</v>
      </c>
      <c r="H153" s="65" t="inlineStr">
        <is>
          <t>Cash</t>
        </is>
      </c>
      <c r="I153" s="65" t="inlineStr">
        <is>
          <t>Delivered</t>
        </is>
      </c>
    </row>
    <row r="154">
      <c r="A154" s="64" t="n">
        <v>46142</v>
      </c>
      <c r="B154" s="65" t="inlineStr">
        <is>
          <t>INV-0075</t>
        </is>
      </c>
      <c r="C154" s="65" t="inlineStr">
        <is>
          <t>Walk-in Customer</t>
        </is>
      </c>
      <c r="D154" s="65" t="inlineStr">
        <is>
          <t>PVC Pipe 1in 6m</t>
        </is>
      </c>
      <c r="E154" s="66" t="n">
        <v>9</v>
      </c>
      <c r="G154" s="68" t="n">
        <v>0.02</v>
      </c>
      <c r="H154" s="65" t="inlineStr">
        <is>
          <t>Cash</t>
        </is>
      </c>
      <c r="I154" s="65" t="inlineStr">
        <is>
          <t>Delivered</t>
        </is>
      </c>
    </row>
    <row r="155">
      <c r="A155" s="64" t="n">
        <v>46142</v>
      </c>
      <c r="B155" s="65" t="inlineStr">
        <is>
          <t>INV-0075</t>
        </is>
      </c>
      <c r="C155" s="65" t="inlineStr">
        <is>
          <t>Walk-in Customer</t>
        </is>
      </c>
      <c r="D155" s="65" t="inlineStr">
        <is>
          <t>Tea Premium 1kg</t>
        </is>
      </c>
      <c r="E155" s="66" t="n">
        <v>2</v>
      </c>
      <c r="G155" s="68" t="n">
        <v>0.05</v>
      </c>
      <c r="H155" s="65" t="inlineStr">
        <is>
          <t>Cash</t>
        </is>
      </c>
      <c r="I155" s="65" t="inlineStr">
        <is>
          <t>Delivered</t>
        </is>
      </c>
    </row>
    <row r="156">
      <c r="A156" s="64" t="n">
        <v>46142</v>
      </c>
      <c r="B156" s="65" t="inlineStr">
        <is>
          <t>INV-0075</t>
        </is>
      </c>
      <c r="C156" s="65" t="inlineStr">
        <is>
          <t>Walk-in Customer</t>
        </is>
      </c>
      <c r="D156" s="65" t="inlineStr">
        <is>
          <t>Copper Wire 90m</t>
        </is>
      </c>
      <c r="E156" s="66" t="n">
        <v>1</v>
      </c>
      <c r="H156" s="65" t="inlineStr">
        <is>
          <t>Cash</t>
        </is>
      </c>
      <c r="I156" s="65" t="inlineStr">
        <is>
          <t>Delivered</t>
        </is>
      </c>
    </row>
    <row r="157">
      <c r="A157" s="64" t="n">
        <v>46142</v>
      </c>
      <c r="B157" s="65" t="inlineStr">
        <is>
          <t>INV-0076</t>
        </is>
      </c>
      <c r="C157" s="65" t="inlineStr">
        <is>
          <t>Delhi Hardware Mart</t>
        </is>
      </c>
      <c r="D157" s="65" t="inlineStr">
        <is>
          <t>Toothpaste 150g x12</t>
        </is>
      </c>
      <c r="E157" s="66" t="n">
        <v>1</v>
      </c>
      <c r="I157" s="65" t="inlineStr">
        <is>
          <t>Delivered</t>
        </is>
      </c>
    </row>
    <row r="158">
      <c r="A158" s="64" t="n">
        <v>46143</v>
      </c>
      <c r="B158" s="65" t="inlineStr">
        <is>
          <t>INV-0077</t>
        </is>
      </c>
      <c r="C158" s="65" t="inlineStr">
        <is>
          <t>Gupta Electricals</t>
        </is>
      </c>
      <c r="D158" s="65" t="inlineStr">
        <is>
          <t>LED Bulb 9W</t>
        </is>
      </c>
      <c r="E158" s="66" t="n">
        <v>17</v>
      </c>
      <c r="G158" s="68" t="n">
        <v>0.02</v>
      </c>
      <c r="I158" s="65" t="inlineStr">
        <is>
          <t>Delivered</t>
        </is>
      </c>
    </row>
    <row r="159">
      <c r="A159" s="64" t="n">
        <v>46143</v>
      </c>
      <c r="B159" s="65" t="inlineStr">
        <is>
          <t>INV-0077</t>
        </is>
      </c>
      <c r="C159" s="65" t="inlineStr">
        <is>
          <t>Gupta Electricals</t>
        </is>
      </c>
      <c r="D159" s="65" t="inlineStr">
        <is>
          <t>Ceiling Fan 1200mm</t>
        </is>
      </c>
      <c r="E159" s="66" t="n">
        <v>1</v>
      </c>
      <c r="I159" s="65" t="inlineStr">
        <is>
          <t>Delivered</t>
        </is>
      </c>
    </row>
    <row r="160">
      <c r="A160" s="64" t="n">
        <v>46143</v>
      </c>
      <c r="B160" s="65" t="inlineStr">
        <is>
          <t>INV-0078</t>
        </is>
      </c>
      <c r="C160" s="65" t="inlineStr">
        <is>
          <t>Delhi Hardware Mart</t>
        </is>
      </c>
      <c r="D160" s="65" t="inlineStr">
        <is>
          <t>Ceiling Fan 1200mm</t>
        </is>
      </c>
      <c r="E160" s="66" t="n">
        <v>1</v>
      </c>
      <c r="I160" s="65" t="inlineStr">
        <is>
          <t>Delivered</t>
        </is>
      </c>
    </row>
    <row r="161">
      <c r="A161" s="64" t="n">
        <v>46143</v>
      </c>
      <c r="B161" s="65" t="inlineStr">
        <is>
          <t>INV-0078</t>
        </is>
      </c>
      <c r="C161" s="65" t="inlineStr">
        <is>
          <t>Delhi Hardware Mart</t>
        </is>
      </c>
      <c r="D161" s="65" t="inlineStr">
        <is>
          <t>Copper Wire 90m</t>
        </is>
      </c>
      <c r="E161" s="66" t="n">
        <v>1</v>
      </c>
      <c r="G161" s="68" t="n">
        <v>0.05</v>
      </c>
      <c r="I161" s="65" t="inlineStr">
        <is>
          <t>Delivered</t>
        </is>
      </c>
    </row>
    <row r="162">
      <c r="A162" s="64" t="n">
        <v>46143</v>
      </c>
      <c r="B162" s="65" t="inlineStr">
        <is>
          <t>INV-0078</t>
        </is>
      </c>
      <c r="C162" s="65" t="inlineStr">
        <is>
          <t>Delhi Hardware Mart</t>
        </is>
      </c>
      <c r="D162" s="65" t="inlineStr">
        <is>
          <t>Cement 50kg</t>
        </is>
      </c>
      <c r="E162" s="66" t="n">
        <v>11</v>
      </c>
      <c r="G162" s="68" t="n">
        <v>0.02</v>
      </c>
      <c r="I162" s="65" t="inlineStr">
        <is>
          <t>Delivered</t>
        </is>
      </c>
    </row>
    <row r="163">
      <c r="A163" s="64" t="n">
        <v>46143</v>
      </c>
      <c r="B163" s="65" t="inlineStr">
        <is>
          <t>INV-0079</t>
        </is>
      </c>
      <c r="C163" s="65" t="inlineStr">
        <is>
          <t>Walk-in Customer</t>
        </is>
      </c>
      <c r="D163" s="65" t="inlineStr">
        <is>
          <t>Tea Premium 1kg</t>
        </is>
      </c>
      <c r="E163" s="66" t="n">
        <v>1</v>
      </c>
      <c r="G163" s="68" t="n">
        <v>0.05</v>
      </c>
      <c r="H163" s="65" t="inlineStr">
        <is>
          <t>Cash</t>
        </is>
      </c>
      <c r="I163" s="65" t="inlineStr">
        <is>
          <t>Delivered</t>
        </is>
      </c>
    </row>
    <row r="164">
      <c r="A164" s="64" t="n">
        <v>46144</v>
      </c>
      <c r="B164" s="65" t="inlineStr">
        <is>
          <t>INV-0080</t>
        </is>
      </c>
      <c r="C164" s="65" t="inlineStr">
        <is>
          <t>Walk-in Customer</t>
        </is>
      </c>
      <c r="D164" s="65" t="inlineStr">
        <is>
          <t>PVC Pipe 1in 6m</t>
        </is>
      </c>
      <c r="E164" s="66" t="n">
        <v>8</v>
      </c>
      <c r="H164" s="65" t="inlineStr">
        <is>
          <t>Cash</t>
        </is>
      </c>
      <c r="I164" s="65" t="inlineStr">
        <is>
          <t>Delivered</t>
        </is>
      </c>
    </row>
    <row r="165">
      <c r="A165" s="64" t="n">
        <v>46144</v>
      </c>
      <c r="B165" s="65" t="inlineStr">
        <is>
          <t>INV-0081</t>
        </is>
      </c>
      <c r="C165" s="65" t="inlineStr">
        <is>
          <t>Delhi Hardware Mart</t>
        </is>
      </c>
      <c r="D165" s="65" t="inlineStr">
        <is>
          <t>A4 Paper Ream</t>
        </is>
      </c>
      <c r="E165" s="66" t="n">
        <v>5</v>
      </c>
      <c r="I165" s="65" t="inlineStr">
        <is>
          <t>Delivered</t>
        </is>
      </c>
    </row>
    <row r="166">
      <c r="A166" s="64" t="n">
        <v>46146</v>
      </c>
      <c r="B166" s="65" t="inlineStr">
        <is>
          <t>INV-0082</t>
        </is>
      </c>
      <c r="C166" s="65" t="inlineStr">
        <is>
          <t>Walk-in Customer</t>
        </is>
      </c>
      <c r="D166" s="65" t="inlineStr">
        <is>
          <t>Sugar 50kg</t>
        </is>
      </c>
      <c r="E166" s="66" t="n">
        <v>1</v>
      </c>
      <c r="G166" s="68" t="n">
        <v>0.05</v>
      </c>
      <c r="H166" s="65" t="inlineStr">
        <is>
          <t>Cash</t>
        </is>
      </c>
      <c r="I166" s="65" t="inlineStr">
        <is>
          <t>Delivered</t>
        </is>
      </c>
    </row>
    <row r="167">
      <c r="A167" s="64" t="n">
        <v>46146</v>
      </c>
      <c r="B167" s="65" t="inlineStr">
        <is>
          <t>INV-0083</t>
        </is>
      </c>
      <c r="C167" s="65" t="inlineStr">
        <is>
          <t>Walk-in Customer</t>
        </is>
      </c>
      <c r="D167" s="65" t="inlineStr">
        <is>
          <t>Detergent 5kg</t>
        </is>
      </c>
      <c r="E167" s="66" t="n">
        <v>1</v>
      </c>
      <c r="G167" s="68" t="n">
        <v>0.05</v>
      </c>
      <c r="H167" s="65" t="inlineStr">
        <is>
          <t>Cash</t>
        </is>
      </c>
      <c r="I167" s="65" t="inlineStr">
        <is>
          <t>Delivered</t>
        </is>
      </c>
    </row>
    <row r="168">
      <c r="A168" s="64" t="n">
        <v>46146</v>
      </c>
      <c r="B168" s="65" t="inlineStr">
        <is>
          <t>INV-0083</t>
        </is>
      </c>
      <c r="C168" s="65" t="inlineStr">
        <is>
          <t>Walk-in Customer</t>
        </is>
      </c>
      <c r="D168" s="65" t="inlineStr">
        <is>
          <t>Tea Premium 1kg</t>
        </is>
      </c>
      <c r="E168" s="66" t="n">
        <v>2</v>
      </c>
      <c r="G168" s="68" t="n">
        <v>0.02</v>
      </c>
      <c r="H168" s="65" t="inlineStr">
        <is>
          <t>Cash</t>
        </is>
      </c>
      <c r="I168" s="65" t="inlineStr">
        <is>
          <t>Delivered</t>
        </is>
      </c>
    </row>
    <row r="169">
      <c r="A169" s="64" t="n">
        <v>46146</v>
      </c>
      <c r="B169" s="65" t="inlineStr">
        <is>
          <t>INV-0083</t>
        </is>
      </c>
      <c r="C169" s="65" t="inlineStr">
        <is>
          <t>Walk-in Customer</t>
        </is>
      </c>
      <c r="D169" s="65" t="inlineStr">
        <is>
          <t>Cement 50kg</t>
        </is>
      </c>
      <c r="E169" s="66" t="n">
        <v>5</v>
      </c>
      <c r="H169" s="65" t="inlineStr">
        <is>
          <t>Cash</t>
        </is>
      </c>
      <c r="I169" s="65" t="inlineStr">
        <is>
          <t>Delivered</t>
        </is>
      </c>
    </row>
    <row r="170">
      <c r="A170" s="64" t="n">
        <v>46146</v>
      </c>
      <c r="B170" s="65" t="inlineStr">
        <is>
          <t>INV-0084</t>
        </is>
      </c>
      <c r="C170" s="65" t="inlineStr">
        <is>
          <t>Walk-in Customer</t>
        </is>
      </c>
      <c r="D170" s="65" t="inlineStr">
        <is>
          <t>PVC Pipe 1in 6m</t>
        </is>
      </c>
      <c r="E170" s="66" t="n">
        <v>3</v>
      </c>
      <c r="G170" s="68" t="n">
        <v>0.02</v>
      </c>
      <c r="H170" s="65" t="inlineStr">
        <is>
          <t>Cash</t>
        </is>
      </c>
      <c r="I170" s="65" t="inlineStr">
        <is>
          <t>Delivered</t>
        </is>
      </c>
    </row>
    <row r="171">
      <c r="A171" s="64" t="n">
        <v>46146</v>
      </c>
      <c r="B171" s="65" t="inlineStr">
        <is>
          <t>INV-0084</t>
        </is>
      </c>
      <c r="C171" s="65" t="inlineStr">
        <is>
          <t>Walk-in Customer</t>
        </is>
      </c>
      <c r="D171" s="65" t="inlineStr">
        <is>
          <t>Tea Premium 1kg</t>
        </is>
      </c>
      <c r="E171" s="66" t="n">
        <v>3</v>
      </c>
      <c r="H171" s="65" t="inlineStr">
        <is>
          <t>Cash</t>
        </is>
      </c>
      <c r="I171" s="65" t="inlineStr">
        <is>
          <t>Delivered</t>
        </is>
      </c>
    </row>
    <row r="172">
      <c r="A172" s="64" t="n">
        <v>46146</v>
      </c>
      <c r="B172" s="65" t="inlineStr">
        <is>
          <t>INV-0084</t>
        </is>
      </c>
      <c r="C172" s="65" t="inlineStr">
        <is>
          <t>Walk-in Customer</t>
        </is>
      </c>
      <c r="D172" s="65" t="inlineStr">
        <is>
          <t>Ceiling Fan 1200mm</t>
        </is>
      </c>
      <c r="E172" s="66" t="n">
        <v>1</v>
      </c>
      <c r="H172" s="65" t="inlineStr">
        <is>
          <t>Cash</t>
        </is>
      </c>
      <c r="I172" s="65" t="inlineStr">
        <is>
          <t>Delivered</t>
        </is>
      </c>
    </row>
    <row r="173">
      <c r="A173" s="64" t="n">
        <v>46147</v>
      </c>
      <c r="B173" s="65" t="inlineStr">
        <is>
          <t>INV-0085</t>
        </is>
      </c>
      <c r="C173" s="65" t="inlineStr">
        <is>
          <t>Walk-in Customer</t>
        </is>
      </c>
      <c r="D173" s="65" t="inlineStr">
        <is>
          <t>Detergent 5kg</t>
        </is>
      </c>
      <c r="E173" s="66" t="n">
        <v>1</v>
      </c>
      <c r="G173" s="68" t="n">
        <v>0.02</v>
      </c>
      <c r="H173" s="65" t="inlineStr">
        <is>
          <t>Cash</t>
        </is>
      </c>
      <c r="I173" s="65" t="inlineStr">
        <is>
          <t>Delivered</t>
        </is>
      </c>
    </row>
    <row r="174">
      <c r="A174" s="64" t="n">
        <v>46147</v>
      </c>
      <c r="B174" s="65" t="inlineStr">
        <is>
          <t>INV-0086</t>
        </is>
      </c>
      <c r="C174" s="65" t="inlineStr">
        <is>
          <t>FMCG Distributors</t>
        </is>
      </c>
      <c r="D174" s="65" t="inlineStr">
        <is>
          <t>Basmati Rice 25kg</t>
        </is>
      </c>
      <c r="E174" s="66" t="n">
        <v>1</v>
      </c>
      <c r="G174" s="68" t="n">
        <v>0.02</v>
      </c>
      <c r="I174" s="65" t="inlineStr">
        <is>
          <t>Delivered</t>
        </is>
      </c>
    </row>
    <row r="175">
      <c r="A175" s="64" t="n">
        <v>46147</v>
      </c>
      <c r="B175" s="65" t="inlineStr">
        <is>
          <t>INV-0086</t>
        </is>
      </c>
      <c r="C175" s="65" t="inlineStr">
        <is>
          <t>FMCG Distributors</t>
        </is>
      </c>
      <c r="D175" s="65" t="inlineStr">
        <is>
          <t>Toothpaste 150g x12</t>
        </is>
      </c>
      <c r="E175" s="66" t="n">
        <v>1</v>
      </c>
      <c r="I175" s="65" t="inlineStr">
        <is>
          <t>Delivered</t>
        </is>
      </c>
    </row>
    <row r="176">
      <c r="A176" s="64" t="n">
        <v>46147</v>
      </c>
      <c r="B176" s="65" t="inlineStr">
        <is>
          <t>INV-0086</t>
        </is>
      </c>
      <c r="C176" s="65" t="inlineStr">
        <is>
          <t>FMCG Distributors</t>
        </is>
      </c>
      <c r="D176" s="65" t="inlineStr">
        <is>
          <t>LED Bulb 9W</t>
        </is>
      </c>
      <c r="E176" s="66" t="n">
        <v>19</v>
      </c>
      <c r="G176" s="68" t="n">
        <v>0.05</v>
      </c>
      <c r="I176" s="65" t="inlineStr">
        <is>
          <t>Delivered</t>
        </is>
      </c>
    </row>
    <row r="177">
      <c r="A177" s="64" t="n">
        <v>46147</v>
      </c>
      <c r="B177" s="65" t="inlineStr">
        <is>
          <t>INV-0087</t>
        </is>
      </c>
      <c r="C177" s="65" t="inlineStr">
        <is>
          <t>Gupta Electricals</t>
        </is>
      </c>
      <c r="D177" s="65" t="inlineStr">
        <is>
          <t>Tea Premium 1kg</t>
        </is>
      </c>
      <c r="E177" s="66" t="n">
        <v>1</v>
      </c>
      <c r="I177" s="65" t="inlineStr">
        <is>
          <t>Delivered</t>
        </is>
      </c>
    </row>
    <row r="178">
      <c r="A178" s="64" t="n">
        <v>46147</v>
      </c>
      <c r="B178" s="65" t="inlineStr">
        <is>
          <t>INV-0087</t>
        </is>
      </c>
      <c r="C178" s="65" t="inlineStr">
        <is>
          <t>Gupta Electricals</t>
        </is>
      </c>
      <c r="D178" s="65" t="inlineStr">
        <is>
          <t>Detergent 5kg</t>
        </is>
      </c>
      <c r="E178" s="66" t="n">
        <v>1</v>
      </c>
      <c r="I178" s="65" t="inlineStr">
        <is>
          <t>Delivered</t>
        </is>
      </c>
    </row>
    <row r="179">
      <c r="A179" s="64" t="n">
        <v>46147</v>
      </c>
      <c r="B179" s="65" t="inlineStr">
        <is>
          <t>INV-0087</t>
        </is>
      </c>
      <c r="C179" s="65" t="inlineStr">
        <is>
          <t>Gupta Electricals</t>
        </is>
      </c>
      <c r="D179" s="65" t="inlineStr">
        <is>
          <t>Ceiling Fan 1200mm</t>
        </is>
      </c>
      <c r="E179" s="66" t="n">
        <v>1</v>
      </c>
      <c r="G179" s="68" t="n">
        <v>0.05</v>
      </c>
      <c r="I179" s="65" t="inlineStr">
        <is>
          <t>Delivered</t>
        </is>
      </c>
    </row>
    <row r="180">
      <c r="A180" s="64" t="n">
        <v>46147</v>
      </c>
      <c r="B180" s="65" t="inlineStr">
        <is>
          <t>INV-0088</t>
        </is>
      </c>
      <c r="C180" s="65" t="inlineStr">
        <is>
          <t>Walk-in Customer</t>
        </is>
      </c>
      <c r="D180" s="65" t="inlineStr">
        <is>
          <t>Tea Premium 1kg</t>
        </is>
      </c>
      <c r="E180" s="66" t="n">
        <v>2</v>
      </c>
      <c r="H180" s="65" t="inlineStr">
        <is>
          <t>Cash</t>
        </is>
      </c>
      <c r="I180" s="65" t="inlineStr">
        <is>
          <t>Delivered</t>
        </is>
      </c>
    </row>
    <row r="181">
      <c r="A181" s="64" t="n">
        <v>46147</v>
      </c>
      <c r="B181" s="65" t="inlineStr">
        <is>
          <t>INV-0088</t>
        </is>
      </c>
      <c r="C181" s="65" t="inlineStr">
        <is>
          <t>Walk-in Customer</t>
        </is>
      </c>
      <c r="D181" s="65" t="inlineStr">
        <is>
          <t>Copper Wire 90m</t>
        </is>
      </c>
      <c r="E181" s="66" t="n">
        <v>1</v>
      </c>
      <c r="H181" s="65" t="inlineStr">
        <is>
          <t>Cash</t>
        </is>
      </c>
      <c r="I181" s="65" t="inlineStr">
        <is>
          <t>Delivered</t>
        </is>
      </c>
    </row>
    <row r="182">
      <c r="A182" s="64" t="n">
        <v>46148</v>
      </c>
      <c r="B182" s="65" t="inlineStr">
        <is>
          <t>INV-0089</t>
        </is>
      </c>
      <c r="C182" s="65" t="inlineStr">
        <is>
          <t>Walk-in Customer</t>
        </is>
      </c>
      <c r="D182" s="65" t="inlineStr">
        <is>
          <t>Cement 50kg</t>
        </is>
      </c>
      <c r="E182" s="66" t="n">
        <v>3</v>
      </c>
      <c r="H182" s="65" t="inlineStr">
        <is>
          <t>Cash</t>
        </is>
      </c>
      <c r="I182" s="65" t="inlineStr">
        <is>
          <t>Delivered</t>
        </is>
      </c>
    </row>
    <row r="183">
      <c r="A183" s="64" t="n">
        <v>46148</v>
      </c>
      <c r="B183" s="65" t="inlineStr">
        <is>
          <t>INV-0090</t>
        </is>
      </c>
      <c r="C183" s="65" t="inlineStr">
        <is>
          <t>Sharma Kirana Store</t>
        </is>
      </c>
      <c r="D183" s="65" t="inlineStr">
        <is>
          <t>Copper Wire 90m</t>
        </is>
      </c>
      <c r="E183" s="66" t="n">
        <v>1</v>
      </c>
      <c r="I183" s="65" t="inlineStr">
        <is>
          <t>Delivered</t>
        </is>
      </c>
    </row>
    <row r="184">
      <c r="A184" s="64" t="n">
        <v>46148</v>
      </c>
      <c r="B184" s="65" t="inlineStr">
        <is>
          <t>INV-0090</t>
        </is>
      </c>
      <c r="C184" s="65" t="inlineStr">
        <is>
          <t>Sharma Kirana Store</t>
        </is>
      </c>
      <c r="D184" s="65" t="inlineStr">
        <is>
          <t>Toothpaste 150g x12</t>
        </is>
      </c>
      <c r="E184" s="66" t="n">
        <v>1</v>
      </c>
      <c r="I184" s="65" t="inlineStr">
        <is>
          <t>Delivered</t>
        </is>
      </c>
    </row>
    <row r="185">
      <c r="A185" s="64" t="n">
        <v>46148</v>
      </c>
      <c r="B185" s="65" t="inlineStr">
        <is>
          <t>INV-0090</t>
        </is>
      </c>
      <c r="C185" s="65" t="inlineStr">
        <is>
          <t>Sharma Kirana Store</t>
        </is>
      </c>
      <c r="D185" s="65" t="inlineStr">
        <is>
          <t>Sugar 50kg</t>
        </is>
      </c>
      <c r="E185" s="66" t="n">
        <v>1</v>
      </c>
      <c r="G185" s="68" t="n">
        <v>0.05</v>
      </c>
      <c r="I185" s="65" t="inlineStr">
        <is>
          <t>Delivered</t>
        </is>
      </c>
    </row>
    <row r="186">
      <c r="A186" s="64" t="n">
        <v>46149</v>
      </c>
      <c r="B186" s="65" t="inlineStr">
        <is>
          <t>INV-0091</t>
        </is>
      </c>
      <c r="C186" s="65" t="inlineStr">
        <is>
          <t>Sharma Kirana Store</t>
        </is>
      </c>
      <c r="D186" s="65" t="inlineStr">
        <is>
          <t>Toothpaste 150g x12</t>
        </is>
      </c>
      <c r="E186" s="66" t="n">
        <v>1</v>
      </c>
      <c r="I186" s="65" t="inlineStr">
        <is>
          <t>Delivered</t>
        </is>
      </c>
    </row>
    <row r="187">
      <c r="A187" s="64" t="n">
        <v>46149</v>
      </c>
      <c r="B187" s="65" t="inlineStr">
        <is>
          <t>INV-0091</t>
        </is>
      </c>
      <c r="C187" s="65" t="inlineStr">
        <is>
          <t>Sharma Kirana Store</t>
        </is>
      </c>
      <c r="D187" s="65" t="inlineStr">
        <is>
          <t>Ceiling Fan 1200mm</t>
        </is>
      </c>
      <c r="E187" s="66" t="n">
        <v>1</v>
      </c>
      <c r="I187" s="65" t="inlineStr">
        <is>
          <t>Delivered</t>
        </is>
      </c>
    </row>
    <row r="188">
      <c r="A188" s="64" t="n">
        <v>46149</v>
      </c>
      <c r="B188" s="65" t="inlineStr">
        <is>
          <t>INV-0091</t>
        </is>
      </c>
      <c r="C188" s="65" t="inlineStr">
        <is>
          <t>Sharma Kirana Store</t>
        </is>
      </c>
      <c r="D188" s="65" t="inlineStr">
        <is>
          <t>Copper Wire 90m</t>
        </is>
      </c>
      <c r="E188" s="66" t="n">
        <v>1</v>
      </c>
      <c r="I188" s="65" t="inlineStr">
        <is>
          <t>Delivered</t>
        </is>
      </c>
    </row>
    <row r="189">
      <c r="A189" s="64" t="n">
        <v>46149</v>
      </c>
      <c r="B189" s="65" t="inlineStr">
        <is>
          <t>INV-0092</t>
        </is>
      </c>
      <c r="C189" s="65" t="inlineStr">
        <is>
          <t>Walk-in Customer</t>
        </is>
      </c>
      <c r="D189" s="65" t="inlineStr">
        <is>
          <t>Toothpaste 150g x12</t>
        </is>
      </c>
      <c r="E189" s="66" t="n">
        <v>1</v>
      </c>
      <c r="G189" s="68" t="n">
        <v>0.02</v>
      </c>
      <c r="H189" s="65" t="inlineStr">
        <is>
          <t>Cash</t>
        </is>
      </c>
      <c r="I189" s="65" t="inlineStr">
        <is>
          <t>Delivered</t>
        </is>
      </c>
    </row>
    <row r="190">
      <c r="A190" s="64" t="n">
        <v>46149</v>
      </c>
      <c r="B190" s="65" t="inlineStr">
        <is>
          <t>INV-0092</t>
        </is>
      </c>
      <c r="C190" s="65" t="inlineStr">
        <is>
          <t>Walk-in Customer</t>
        </is>
      </c>
      <c r="D190" s="65" t="inlineStr">
        <is>
          <t>Detergent 5kg</t>
        </is>
      </c>
      <c r="E190" s="66" t="n">
        <v>1</v>
      </c>
      <c r="G190" s="68" t="n">
        <v>0.05</v>
      </c>
      <c r="H190" s="65" t="inlineStr">
        <is>
          <t>Cash</t>
        </is>
      </c>
      <c r="I190" s="65" t="inlineStr">
        <is>
          <t>Delivered</t>
        </is>
      </c>
    </row>
    <row r="191">
      <c r="A191" s="64" t="n">
        <v>46149</v>
      </c>
      <c r="B191" s="65" t="inlineStr">
        <is>
          <t>INV-0092</t>
        </is>
      </c>
      <c r="C191" s="65" t="inlineStr">
        <is>
          <t>Walk-in Customer</t>
        </is>
      </c>
      <c r="D191" s="65" t="inlineStr">
        <is>
          <t>LED Bulb 9W</t>
        </is>
      </c>
      <c r="E191" s="66" t="n">
        <v>23</v>
      </c>
      <c r="H191" s="65" t="inlineStr">
        <is>
          <t>Cash</t>
        </is>
      </c>
      <c r="I191" s="65" t="inlineStr">
        <is>
          <t>Delivered</t>
        </is>
      </c>
    </row>
    <row r="192">
      <c r="A192" s="64" t="n">
        <v>46149</v>
      </c>
      <c r="B192" s="65" t="inlineStr">
        <is>
          <t>INV-0093</t>
        </is>
      </c>
      <c r="C192" s="65" t="inlineStr">
        <is>
          <t>FMCG Distributors</t>
        </is>
      </c>
      <c r="D192" s="65" t="inlineStr">
        <is>
          <t>Basmati Rice 25kg</t>
        </is>
      </c>
      <c r="E192" s="66" t="n">
        <v>1</v>
      </c>
      <c r="G192" s="68" t="n">
        <v>0.02</v>
      </c>
      <c r="I192" s="65" t="inlineStr">
        <is>
          <t>Delivered</t>
        </is>
      </c>
    </row>
    <row r="193">
      <c r="A193" s="64" t="n">
        <v>46149</v>
      </c>
      <c r="B193" s="65" t="inlineStr">
        <is>
          <t>INV-0093</t>
        </is>
      </c>
      <c r="C193" s="65" t="inlineStr">
        <is>
          <t>FMCG Distributors</t>
        </is>
      </c>
      <c r="D193" s="65" t="inlineStr">
        <is>
          <t>A4 Paper Ream</t>
        </is>
      </c>
      <c r="E193" s="66" t="n">
        <v>1</v>
      </c>
      <c r="I193" s="65" t="inlineStr">
        <is>
          <t>Delivered</t>
        </is>
      </c>
    </row>
    <row r="194">
      <c r="A194" s="64" t="n">
        <v>46149</v>
      </c>
      <c r="B194" s="65" t="inlineStr">
        <is>
          <t>INV-0093</t>
        </is>
      </c>
      <c r="C194" s="65" t="inlineStr">
        <is>
          <t>FMCG Distributors</t>
        </is>
      </c>
      <c r="D194" s="65" t="inlineStr">
        <is>
          <t>LED Bulb 9W</t>
        </is>
      </c>
      <c r="E194" s="66" t="n">
        <v>14</v>
      </c>
      <c r="I194" s="65" t="inlineStr">
        <is>
          <t>Delivered</t>
        </is>
      </c>
    </row>
    <row r="195">
      <c r="A195" s="64" t="n">
        <v>46149</v>
      </c>
      <c r="B195" s="65" t="inlineStr">
        <is>
          <t>INV-0094</t>
        </is>
      </c>
      <c r="C195" s="65" t="inlineStr">
        <is>
          <t>Mehta Constructions</t>
        </is>
      </c>
      <c r="D195" s="65" t="inlineStr">
        <is>
          <t>Cement 50kg</t>
        </is>
      </c>
      <c r="E195" s="66" t="n">
        <v>5</v>
      </c>
      <c r="I195" s="65" t="inlineStr">
        <is>
          <t>Delivered</t>
        </is>
      </c>
    </row>
    <row r="196">
      <c r="A196" s="64" t="n">
        <v>46150</v>
      </c>
      <c r="B196" s="65" t="inlineStr">
        <is>
          <t>INV-0095</t>
        </is>
      </c>
      <c r="C196" s="65" t="inlineStr">
        <is>
          <t>Sharma Kirana Store</t>
        </is>
      </c>
      <c r="D196" s="65" t="inlineStr">
        <is>
          <t>Detergent 5kg</t>
        </is>
      </c>
      <c r="E196" s="66" t="n">
        <v>1</v>
      </c>
      <c r="G196" s="68" t="n">
        <v>0.05</v>
      </c>
      <c r="I196" s="65" t="inlineStr">
        <is>
          <t>Delivered</t>
        </is>
      </c>
    </row>
    <row r="197">
      <c r="A197" s="64" t="n">
        <v>46150</v>
      </c>
      <c r="B197" s="65" t="inlineStr">
        <is>
          <t>INV-0095</t>
        </is>
      </c>
      <c r="C197" s="65" t="inlineStr">
        <is>
          <t>Sharma Kirana Store</t>
        </is>
      </c>
      <c r="D197" s="65" t="inlineStr">
        <is>
          <t>Ceiling Fan 1200mm</t>
        </is>
      </c>
      <c r="E197" s="66" t="n">
        <v>1</v>
      </c>
      <c r="I197" s="65" t="inlineStr">
        <is>
          <t>Delivered</t>
        </is>
      </c>
    </row>
    <row r="198">
      <c r="A198" s="64" t="n">
        <v>46150</v>
      </c>
      <c r="B198" s="65" t="inlineStr">
        <is>
          <t>INV-0096</t>
        </is>
      </c>
      <c r="C198" s="65" t="inlineStr">
        <is>
          <t>Sharma Kirana Store</t>
        </is>
      </c>
      <c r="D198" s="65" t="inlineStr">
        <is>
          <t>Copper Wire 90m</t>
        </is>
      </c>
      <c r="E198" s="66" t="n">
        <v>1</v>
      </c>
      <c r="G198" s="68" t="n">
        <v>0.02</v>
      </c>
      <c r="I198" s="65" t="inlineStr">
        <is>
          <t>Delivered</t>
        </is>
      </c>
    </row>
    <row r="199">
      <c r="A199" s="64" t="n">
        <v>46150</v>
      </c>
      <c r="B199" s="65" t="inlineStr">
        <is>
          <t>INV-0097</t>
        </is>
      </c>
      <c r="C199" s="65" t="inlineStr">
        <is>
          <t>Walk-in Customer</t>
        </is>
      </c>
      <c r="D199" s="65" t="inlineStr">
        <is>
          <t>LED Bulb 9W</t>
        </is>
      </c>
      <c r="E199" s="66" t="n">
        <v>7</v>
      </c>
      <c r="G199" s="68" t="n">
        <v>0.02</v>
      </c>
      <c r="H199" s="65" t="inlineStr">
        <is>
          <t>Cash</t>
        </is>
      </c>
      <c r="I199" s="65" t="inlineStr">
        <is>
          <t>Delivered</t>
        </is>
      </c>
    </row>
    <row r="200">
      <c r="A200" s="64" t="n">
        <v>46150</v>
      </c>
      <c r="B200" s="65" t="inlineStr">
        <is>
          <t>INV-0097</t>
        </is>
      </c>
      <c r="C200" s="65" t="inlineStr">
        <is>
          <t>Walk-in Customer</t>
        </is>
      </c>
      <c r="D200" s="65" t="inlineStr">
        <is>
          <t>Copper Wire 90m</t>
        </is>
      </c>
      <c r="E200" s="66" t="n">
        <v>1</v>
      </c>
      <c r="H200" s="65" t="inlineStr">
        <is>
          <t>Cash</t>
        </is>
      </c>
      <c r="I200" s="65" t="inlineStr">
        <is>
          <t>Delivered</t>
        </is>
      </c>
    </row>
    <row r="201">
      <c r="A201" s="64" t="n">
        <v>46151</v>
      </c>
      <c r="B201" s="65" t="inlineStr">
        <is>
          <t>INV-0098</t>
        </is>
      </c>
      <c r="C201" s="65" t="inlineStr">
        <is>
          <t>Walk-in Customer</t>
        </is>
      </c>
      <c r="D201" s="65" t="inlineStr">
        <is>
          <t>Toothpaste 150g x12</t>
        </is>
      </c>
      <c r="E201" s="66" t="n">
        <v>1</v>
      </c>
      <c r="G201" s="68" t="n">
        <v>0.05</v>
      </c>
      <c r="H201" s="65" t="inlineStr">
        <is>
          <t>Cash</t>
        </is>
      </c>
      <c r="I201" s="65" t="inlineStr">
        <is>
          <t>Delivered</t>
        </is>
      </c>
    </row>
    <row r="202">
      <c r="A202" s="64" t="n">
        <v>46151</v>
      </c>
      <c r="B202" s="65" t="inlineStr">
        <is>
          <t>INV-0098</t>
        </is>
      </c>
      <c r="C202" s="65" t="inlineStr">
        <is>
          <t>Walk-in Customer</t>
        </is>
      </c>
      <c r="D202" s="65" t="inlineStr">
        <is>
          <t>Copper Wire 90m</t>
        </is>
      </c>
      <c r="E202" s="66" t="n">
        <v>1</v>
      </c>
      <c r="H202" s="65" t="inlineStr">
        <is>
          <t>Cash</t>
        </is>
      </c>
      <c r="I202" s="65" t="inlineStr">
        <is>
          <t>Delivered</t>
        </is>
      </c>
    </row>
    <row r="203">
      <c r="A203" s="64" t="n">
        <v>46151</v>
      </c>
      <c r="B203" s="65" t="inlineStr">
        <is>
          <t>INV-0099</t>
        </is>
      </c>
      <c r="C203" s="65" t="inlineStr">
        <is>
          <t>Walk-in Customer</t>
        </is>
      </c>
      <c r="D203" s="65" t="inlineStr">
        <is>
          <t>Tea Premium 1kg</t>
        </is>
      </c>
      <c r="E203" s="66" t="n">
        <v>1</v>
      </c>
      <c r="H203" s="65" t="inlineStr">
        <is>
          <t>Cash</t>
        </is>
      </c>
      <c r="I203" s="65" t="inlineStr">
        <is>
          <t>Delivered</t>
        </is>
      </c>
    </row>
    <row r="204">
      <c r="A204" s="64" t="n">
        <v>46151</v>
      </c>
      <c r="B204" s="65" t="inlineStr">
        <is>
          <t>INV-0099</t>
        </is>
      </c>
      <c r="C204" s="65" t="inlineStr">
        <is>
          <t>Walk-in Customer</t>
        </is>
      </c>
      <c r="D204" s="65" t="inlineStr">
        <is>
          <t>LED Bulb 9W</t>
        </is>
      </c>
      <c r="E204" s="66" t="n">
        <v>14</v>
      </c>
      <c r="G204" s="68" t="n">
        <v>0.05</v>
      </c>
      <c r="H204" s="65" t="inlineStr">
        <is>
          <t>Cash</t>
        </is>
      </c>
      <c r="I204" s="65" t="inlineStr">
        <is>
          <t>Delivered</t>
        </is>
      </c>
    </row>
    <row r="205">
      <c r="A205" s="64" t="n">
        <v>46151</v>
      </c>
      <c r="B205" s="65" t="inlineStr">
        <is>
          <t>INV-0100</t>
        </is>
      </c>
      <c r="C205" s="65" t="inlineStr">
        <is>
          <t>FMCG Distributors</t>
        </is>
      </c>
      <c r="D205" s="65" t="inlineStr">
        <is>
          <t>Sugar 50kg</t>
        </is>
      </c>
      <c r="E205" s="66" t="n">
        <v>1</v>
      </c>
      <c r="I205" s="65" t="inlineStr">
        <is>
          <t>Delivered</t>
        </is>
      </c>
    </row>
    <row r="206">
      <c r="A206" s="64" t="n">
        <v>46151</v>
      </c>
      <c r="B206" s="65" t="inlineStr">
        <is>
          <t>INV-0100</t>
        </is>
      </c>
      <c r="C206" s="65" t="inlineStr">
        <is>
          <t>FMCG Distributors</t>
        </is>
      </c>
      <c r="D206" s="65" t="inlineStr">
        <is>
          <t>Ceiling Fan 1200mm</t>
        </is>
      </c>
      <c r="E206" s="66" t="n">
        <v>1</v>
      </c>
      <c r="G206" s="68" t="n">
        <v>0.02</v>
      </c>
      <c r="I206" s="65" t="inlineStr">
        <is>
          <t>Delivered</t>
        </is>
      </c>
    </row>
    <row r="207">
      <c r="A207" s="64" t="n">
        <v>46151</v>
      </c>
      <c r="B207" s="65" t="inlineStr">
        <is>
          <t>INV-0100</t>
        </is>
      </c>
      <c r="C207" s="65" t="inlineStr">
        <is>
          <t>FMCG Distributors</t>
        </is>
      </c>
      <c r="D207" s="65" t="inlineStr">
        <is>
          <t>Detergent 5kg</t>
        </is>
      </c>
      <c r="E207" s="66" t="n">
        <v>3</v>
      </c>
      <c r="G207" s="68" t="n">
        <v>0.02</v>
      </c>
      <c r="I207" s="65" t="inlineStr">
        <is>
          <t>Delivered</t>
        </is>
      </c>
    </row>
    <row r="208">
      <c r="A208" s="64" t="n">
        <v>46153</v>
      </c>
      <c r="B208" s="65" t="inlineStr">
        <is>
          <t>INV-0101</t>
        </is>
      </c>
      <c r="C208" s="65" t="inlineStr">
        <is>
          <t>Walk-in Customer</t>
        </is>
      </c>
      <c r="D208" s="65" t="inlineStr">
        <is>
          <t>Detergent 5kg</t>
        </is>
      </c>
      <c r="E208" s="66" t="n">
        <v>1</v>
      </c>
      <c r="H208" s="65" t="inlineStr">
        <is>
          <t>Cash</t>
        </is>
      </c>
      <c r="I208" s="65" t="inlineStr">
        <is>
          <t>Delivered</t>
        </is>
      </c>
    </row>
    <row r="209">
      <c r="A209" s="64" t="n">
        <v>46153</v>
      </c>
      <c r="B209" s="65" t="inlineStr">
        <is>
          <t>INV-0101</t>
        </is>
      </c>
      <c r="C209" s="65" t="inlineStr">
        <is>
          <t>Walk-in Customer</t>
        </is>
      </c>
      <c r="D209" s="65" t="inlineStr">
        <is>
          <t>Cement 50kg</t>
        </is>
      </c>
      <c r="E209" s="66" t="n">
        <v>6</v>
      </c>
      <c r="H209" s="65" t="inlineStr">
        <is>
          <t>Cash</t>
        </is>
      </c>
      <c r="I209" s="65" t="inlineStr">
        <is>
          <t>Delivered</t>
        </is>
      </c>
    </row>
    <row r="210">
      <c r="A210" s="64" t="n">
        <v>46153</v>
      </c>
      <c r="B210" s="65" t="inlineStr">
        <is>
          <t>INV-0102</t>
        </is>
      </c>
      <c r="C210" s="65" t="inlineStr">
        <is>
          <t>Walk-in Customer</t>
        </is>
      </c>
      <c r="D210" s="65" t="inlineStr">
        <is>
          <t>A4 Paper Ream</t>
        </is>
      </c>
      <c r="E210" s="66" t="n">
        <v>4</v>
      </c>
      <c r="H210" s="65" t="inlineStr">
        <is>
          <t>Cash</t>
        </is>
      </c>
      <c r="I210" s="65" t="inlineStr">
        <is>
          <t>Delivered</t>
        </is>
      </c>
    </row>
    <row r="211">
      <c r="A211" s="64" t="n">
        <v>46153</v>
      </c>
      <c r="B211" s="65" t="inlineStr">
        <is>
          <t>INV-0103</t>
        </is>
      </c>
      <c r="C211" s="65" t="inlineStr">
        <is>
          <t>Gupta Electricals</t>
        </is>
      </c>
      <c r="D211" s="65" t="inlineStr">
        <is>
          <t>Tea Premium 1kg</t>
        </is>
      </c>
      <c r="E211" s="66" t="n">
        <v>1</v>
      </c>
      <c r="I211" s="65" t="inlineStr">
        <is>
          <t>Delivered</t>
        </is>
      </c>
    </row>
    <row r="212">
      <c r="A212" s="64" t="n">
        <v>46153</v>
      </c>
      <c r="B212" s="65" t="inlineStr">
        <is>
          <t>INV-0103</t>
        </is>
      </c>
      <c r="C212" s="65" t="inlineStr">
        <is>
          <t>Gupta Electricals</t>
        </is>
      </c>
      <c r="D212" s="65" t="inlineStr">
        <is>
          <t>Copper Wire 90m</t>
        </is>
      </c>
      <c r="E212" s="66" t="n">
        <v>1</v>
      </c>
      <c r="I212" s="65" t="inlineStr">
        <is>
          <t>Delivered</t>
        </is>
      </c>
    </row>
    <row r="213">
      <c r="A213" s="64" t="n">
        <v>46153</v>
      </c>
      <c r="B213" s="65" t="inlineStr">
        <is>
          <t>INV-0103</t>
        </is>
      </c>
      <c r="C213" s="65" t="inlineStr">
        <is>
          <t>Gupta Electricals</t>
        </is>
      </c>
      <c r="D213" s="65" t="inlineStr">
        <is>
          <t>Toothpaste 150g x12</t>
        </is>
      </c>
      <c r="E213" s="66" t="n">
        <v>1</v>
      </c>
      <c r="G213" s="68" t="n">
        <v>0.05</v>
      </c>
      <c r="I213" s="65" t="inlineStr">
        <is>
          <t>Delivered</t>
        </is>
      </c>
    </row>
    <row r="214">
      <c r="A214" s="64" t="n">
        <v>46154</v>
      </c>
      <c r="B214" s="65" t="inlineStr">
        <is>
          <t>INV-0104</t>
        </is>
      </c>
      <c r="C214" s="65" t="inlineStr">
        <is>
          <t>Gupta Electricals</t>
        </is>
      </c>
      <c r="D214" s="65" t="inlineStr">
        <is>
          <t>Copper Wire 90m</t>
        </is>
      </c>
      <c r="E214" s="66" t="n">
        <v>1</v>
      </c>
      <c r="I214" s="65" t="inlineStr">
        <is>
          <t>Delivered</t>
        </is>
      </c>
    </row>
    <row r="215">
      <c r="A215" s="64" t="n">
        <v>46154</v>
      </c>
      <c r="B215" s="65" t="inlineStr">
        <is>
          <t>INV-0104</t>
        </is>
      </c>
      <c r="C215" s="65" t="inlineStr">
        <is>
          <t>Gupta Electricals</t>
        </is>
      </c>
      <c r="D215" s="65" t="inlineStr">
        <is>
          <t>Cement 50kg</t>
        </is>
      </c>
      <c r="E215" s="66" t="n">
        <v>3</v>
      </c>
      <c r="G215" s="68" t="n">
        <v>0.05</v>
      </c>
      <c r="I215" s="65" t="inlineStr">
        <is>
          <t>Delivered</t>
        </is>
      </c>
    </row>
    <row r="216">
      <c r="A216" s="64" t="n">
        <v>46154</v>
      </c>
      <c r="B216" s="65" t="inlineStr">
        <is>
          <t>INV-0105</t>
        </is>
      </c>
      <c r="C216" s="65" t="inlineStr">
        <is>
          <t>FMCG Distributors</t>
        </is>
      </c>
      <c r="D216" s="65" t="inlineStr">
        <is>
          <t>Toothpaste 150g x12</t>
        </is>
      </c>
      <c r="E216" s="66" t="n">
        <v>1</v>
      </c>
      <c r="I216" s="65" t="inlineStr">
        <is>
          <t>Delivered</t>
        </is>
      </c>
    </row>
    <row r="217">
      <c r="A217" s="64" t="n">
        <v>46154</v>
      </c>
      <c r="B217" s="65" t="inlineStr">
        <is>
          <t>INV-0106</t>
        </is>
      </c>
      <c r="C217" s="65" t="inlineStr">
        <is>
          <t>Walk-in Customer</t>
        </is>
      </c>
      <c r="D217" s="65" t="inlineStr">
        <is>
          <t>Basmati Rice 25kg</t>
        </is>
      </c>
      <c r="E217" s="66" t="n">
        <v>1</v>
      </c>
      <c r="H217" s="65" t="inlineStr">
        <is>
          <t>Cash</t>
        </is>
      </c>
      <c r="I217" s="65" t="inlineStr">
        <is>
          <t>Delivered</t>
        </is>
      </c>
    </row>
    <row r="218">
      <c r="A218" s="64" t="n">
        <v>46154</v>
      </c>
      <c r="B218" s="65" t="inlineStr">
        <is>
          <t>INV-0106</t>
        </is>
      </c>
      <c r="C218" s="65" t="inlineStr">
        <is>
          <t>Walk-in Customer</t>
        </is>
      </c>
      <c r="D218" s="65" t="inlineStr">
        <is>
          <t>Cement 50kg</t>
        </is>
      </c>
      <c r="E218" s="66" t="n">
        <v>10</v>
      </c>
      <c r="H218" s="65" t="inlineStr">
        <is>
          <t>Cash</t>
        </is>
      </c>
      <c r="I218" s="65" t="inlineStr">
        <is>
          <t>Delivered</t>
        </is>
      </c>
    </row>
    <row r="219">
      <c r="A219" s="64" t="n">
        <v>46155</v>
      </c>
      <c r="B219" s="65" t="inlineStr">
        <is>
          <t>INV-0107</t>
        </is>
      </c>
      <c r="C219" s="65" t="inlineStr">
        <is>
          <t>FMCG Distributors</t>
        </is>
      </c>
      <c r="D219" s="65" t="inlineStr">
        <is>
          <t>Sugar 50kg</t>
        </is>
      </c>
      <c r="E219" s="66" t="n">
        <v>1</v>
      </c>
      <c r="G219" s="68" t="n">
        <v>0.02</v>
      </c>
      <c r="I219" s="65" t="inlineStr">
        <is>
          <t>Delivered</t>
        </is>
      </c>
    </row>
    <row r="220">
      <c r="A220" s="64" t="n">
        <v>46155</v>
      </c>
      <c r="B220" s="65" t="inlineStr">
        <is>
          <t>INV-0107</t>
        </is>
      </c>
      <c r="C220" s="65" t="inlineStr">
        <is>
          <t>FMCG Distributors</t>
        </is>
      </c>
      <c r="D220" s="65" t="inlineStr">
        <is>
          <t>Tea Premium 1kg</t>
        </is>
      </c>
      <c r="E220" s="66" t="n">
        <v>3</v>
      </c>
      <c r="I220" s="65" t="inlineStr">
        <is>
          <t>Delivered</t>
        </is>
      </c>
    </row>
    <row r="221">
      <c r="A221" s="64" t="n">
        <v>46155</v>
      </c>
      <c r="B221" s="65" t="inlineStr">
        <is>
          <t>INV-0108</t>
        </is>
      </c>
      <c r="C221" s="65" t="inlineStr">
        <is>
          <t>Walk-in Customer</t>
        </is>
      </c>
      <c r="D221" s="65" t="inlineStr">
        <is>
          <t>LED Bulb 9W</t>
        </is>
      </c>
      <c r="E221" s="66" t="n">
        <v>18</v>
      </c>
      <c r="H221" s="65" t="inlineStr">
        <is>
          <t>Cash</t>
        </is>
      </c>
      <c r="I221" s="65" t="inlineStr">
        <is>
          <t>Delivered</t>
        </is>
      </c>
    </row>
    <row r="222">
      <c r="A222" s="64" t="n">
        <v>46155</v>
      </c>
      <c r="B222" s="65" t="inlineStr">
        <is>
          <t>INV-0109</t>
        </is>
      </c>
      <c r="C222" s="65" t="inlineStr">
        <is>
          <t>Gupta Electricals</t>
        </is>
      </c>
      <c r="D222" s="65" t="inlineStr">
        <is>
          <t>Ceiling Fan 1200mm</t>
        </is>
      </c>
      <c r="E222" s="66" t="n">
        <v>1</v>
      </c>
      <c r="I222" s="65" t="inlineStr">
        <is>
          <t>Delivered</t>
        </is>
      </c>
    </row>
    <row r="223">
      <c r="A223" s="64" t="n">
        <v>46155</v>
      </c>
      <c r="B223" s="65" t="inlineStr">
        <is>
          <t>INV-0109</t>
        </is>
      </c>
      <c r="C223" s="65" t="inlineStr">
        <is>
          <t>Gupta Electricals</t>
        </is>
      </c>
      <c r="D223" s="65" t="inlineStr">
        <is>
          <t>Detergent 5kg</t>
        </is>
      </c>
      <c r="E223" s="66" t="n">
        <v>2</v>
      </c>
      <c r="I223" s="65" t="inlineStr">
        <is>
          <t>Delivered</t>
        </is>
      </c>
    </row>
    <row r="224">
      <c r="A224" s="64" t="n">
        <v>46155</v>
      </c>
      <c r="B224" s="65" t="inlineStr">
        <is>
          <t>INV-0109</t>
        </is>
      </c>
      <c r="C224" s="65" t="inlineStr">
        <is>
          <t>Gupta Electricals</t>
        </is>
      </c>
      <c r="D224" s="65" t="inlineStr">
        <is>
          <t>LED Bulb 9W</t>
        </is>
      </c>
      <c r="E224" s="66" t="n">
        <v>11</v>
      </c>
      <c r="G224" s="68" t="n">
        <v>0.05</v>
      </c>
      <c r="I224" s="65" t="inlineStr">
        <is>
          <t>Delivered</t>
        </is>
      </c>
    </row>
    <row r="225">
      <c r="A225" s="64" t="n">
        <v>46155</v>
      </c>
      <c r="B225" s="65" t="inlineStr">
        <is>
          <t>INV-0110</t>
        </is>
      </c>
      <c r="C225" s="65" t="inlineStr">
        <is>
          <t>FMCG Distributors</t>
        </is>
      </c>
      <c r="D225" s="65" t="inlineStr">
        <is>
          <t>Basmati Rice 25kg</t>
        </is>
      </c>
      <c r="E225" s="66" t="n">
        <v>1</v>
      </c>
      <c r="G225" s="68" t="n">
        <v>0.02</v>
      </c>
      <c r="H225" s="65" t="inlineStr">
        <is>
          <t>UPI</t>
        </is>
      </c>
      <c r="I225" s="65" t="inlineStr">
        <is>
          <t>Delivered</t>
        </is>
      </c>
    </row>
    <row r="226">
      <c r="A226" s="64" t="n">
        <v>46155</v>
      </c>
      <c r="B226" s="65" t="inlineStr">
        <is>
          <t>INV-0110</t>
        </is>
      </c>
      <c r="C226" s="65" t="inlineStr">
        <is>
          <t>FMCG Distributors</t>
        </is>
      </c>
      <c r="D226" s="65" t="inlineStr">
        <is>
          <t>Toothpaste 150g x12</t>
        </is>
      </c>
      <c r="E226" s="66" t="n">
        <v>1</v>
      </c>
      <c r="H226" s="65" t="inlineStr">
        <is>
          <t>UPI</t>
        </is>
      </c>
      <c r="I226" s="65" t="inlineStr">
        <is>
          <t>Delivered</t>
        </is>
      </c>
    </row>
    <row r="227">
      <c r="A227" s="64" t="n">
        <v>46155</v>
      </c>
      <c r="B227" s="65" t="inlineStr">
        <is>
          <t>INV-0110</t>
        </is>
      </c>
      <c r="C227" s="65" t="inlineStr">
        <is>
          <t>FMCG Distributors</t>
        </is>
      </c>
      <c r="D227" s="65" t="inlineStr">
        <is>
          <t>Tea Premium 1kg</t>
        </is>
      </c>
      <c r="E227" s="66" t="n">
        <v>2</v>
      </c>
      <c r="H227" s="65" t="inlineStr">
        <is>
          <t>UPI</t>
        </is>
      </c>
      <c r="I227" s="65" t="inlineStr">
        <is>
          <t>Delivered</t>
        </is>
      </c>
    </row>
    <row r="228">
      <c r="A228" s="64" t="n">
        <v>46156</v>
      </c>
      <c r="B228" s="65" t="inlineStr">
        <is>
          <t>INV-0111</t>
        </is>
      </c>
      <c r="C228" s="65" t="inlineStr">
        <is>
          <t>Gupta Electricals</t>
        </is>
      </c>
      <c r="D228" s="65" t="inlineStr">
        <is>
          <t>Cement 50kg</t>
        </is>
      </c>
      <c r="E228" s="66" t="n">
        <v>10</v>
      </c>
      <c r="I228" s="65" t="inlineStr">
        <is>
          <t>Delivered</t>
        </is>
      </c>
    </row>
    <row r="229">
      <c r="A229" s="64" t="n">
        <v>46156</v>
      </c>
      <c r="B229" s="65" t="inlineStr">
        <is>
          <t>INV-0111</t>
        </is>
      </c>
      <c r="C229" s="65" t="inlineStr">
        <is>
          <t>Gupta Electricals</t>
        </is>
      </c>
      <c r="D229" s="65" t="inlineStr">
        <is>
          <t>Toothpaste 150g x12</t>
        </is>
      </c>
      <c r="E229" s="66" t="n">
        <v>1</v>
      </c>
      <c r="G229" s="68" t="n">
        <v>0.05</v>
      </c>
      <c r="I229" s="65" t="inlineStr">
        <is>
          <t>Delivered</t>
        </is>
      </c>
    </row>
    <row r="230">
      <c r="A230" s="64" t="n">
        <v>46156</v>
      </c>
      <c r="B230" s="65" t="inlineStr">
        <is>
          <t>INV-0111</t>
        </is>
      </c>
      <c r="C230" s="65" t="inlineStr">
        <is>
          <t>Gupta Electricals</t>
        </is>
      </c>
      <c r="D230" s="65" t="inlineStr">
        <is>
          <t>Copper Wire 90m</t>
        </is>
      </c>
      <c r="E230" s="66" t="n">
        <v>1</v>
      </c>
      <c r="G230" s="68" t="n">
        <v>0.02</v>
      </c>
      <c r="I230" s="65" t="inlineStr">
        <is>
          <t>Delivered</t>
        </is>
      </c>
    </row>
    <row r="231">
      <c r="A231" s="64" t="n">
        <v>46156</v>
      </c>
      <c r="B231" s="65" t="inlineStr">
        <is>
          <t>INV-0112</t>
        </is>
      </c>
      <c r="C231" s="65" t="inlineStr">
        <is>
          <t>Gupta Electricals</t>
        </is>
      </c>
      <c r="D231" s="65" t="inlineStr">
        <is>
          <t>Ceiling Fan 1200mm</t>
        </is>
      </c>
      <c r="E231" s="66" t="n">
        <v>1</v>
      </c>
      <c r="H231" s="65" t="inlineStr">
        <is>
          <t>Bank</t>
        </is>
      </c>
      <c r="I231" s="65" t="inlineStr">
        <is>
          <t>Delivered</t>
        </is>
      </c>
    </row>
    <row r="232">
      <c r="A232" s="64" t="n">
        <v>46156</v>
      </c>
      <c r="B232" s="65" t="inlineStr">
        <is>
          <t>INV-0112</t>
        </is>
      </c>
      <c r="C232" s="65" t="inlineStr">
        <is>
          <t>Gupta Electricals</t>
        </is>
      </c>
      <c r="D232" s="65" t="inlineStr">
        <is>
          <t>PVC Pipe 1in 6m</t>
        </is>
      </c>
      <c r="E232" s="66" t="n">
        <v>4</v>
      </c>
      <c r="G232" s="68" t="n">
        <v>0.05</v>
      </c>
      <c r="H232" s="65" t="inlineStr">
        <is>
          <t>Bank</t>
        </is>
      </c>
      <c r="I232" s="65" t="inlineStr">
        <is>
          <t>Delivered</t>
        </is>
      </c>
    </row>
    <row r="233">
      <c r="A233" s="64" t="n">
        <v>46156</v>
      </c>
      <c r="B233" s="65" t="inlineStr">
        <is>
          <t>INV-0113</t>
        </is>
      </c>
      <c r="C233" s="65" t="inlineStr">
        <is>
          <t>Delhi Hardware Mart</t>
        </is>
      </c>
      <c r="D233" s="65" t="inlineStr">
        <is>
          <t>LED Bulb 9W</t>
        </is>
      </c>
      <c r="E233" s="66" t="n">
        <v>14</v>
      </c>
      <c r="I233" s="65" t="inlineStr">
        <is>
          <t>Delivered</t>
        </is>
      </c>
    </row>
    <row r="234">
      <c r="A234" s="64" t="n">
        <v>46156</v>
      </c>
      <c r="B234" s="65" t="inlineStr">
        <is>
          <t>INV-0114</t>
        </is>
      </c>
      <c r="C234" s="65" t="inlineStr">
        <is>
          <t>Mehta Constructions</t>
        </is>
      </c>
      <c r="D234" s="65" t="inlineStr">
        <is>
          <t>Copper Wire 90m</t>
        </is>
      </c>
      <c r="E234" s="66" t="n">
        <v>1</v>
      </c>
      <c r="G234" s="68" t="n">
        <v>0.05</v>
      </c>
      <c r="I234" s="65" t="inlineStr">
        <is>
          <t>Delivered</t>
        </is>
      </c>
    </row>
    <row r="235">
      <c r="A235" s="64" t="n">
        <v>46157</v>
      </c>
      <c r="B235" s="65" t="inlineStr">
        <is>
          <t>INV-0115</t>
        </is>
      </c>
      <c r="C235" s="65" t="inlineStr">
        <is>
          <t>Gupta Electricals</t>
        </is>
      </c>
      <c r="D235" s="65" t="inlineStr">
        <is>
          <t>A4 Paper Ream</t>
        </is>
      </c>
      <c r="E235" s="66" t="n">
        <v>5</v>
      </c>
      <c r="G235" s="68" t="n">
        <v>0.05</v>
      </c>
      <c r="H235" s="65" t="inlineStr">
        <is>
          <t>Bank</t>
        </is>
      </c>
      <c r="I235" s="65" t="inlineStr">
        <is>
          <t>Delivered</t>
        </is>
      </c>
    </row>
    <row r="236">
      <c r="A236" s="64" t="n">
        <v>46157</v>
      </c>
      <c r="B236" s="65" t="inlineStr">
        <is>
          <t>INV-0115</t>
        </is>
      </c>
      <c r="C236" s="65" t="inlineStr">
        <is>
          <t>Gupta Electricals</t>
        </is>
      </c>
      <c r="D236" s="65" t="inlineStr">
        <is>
          <t>Tea Premium 1kg</t>
        </is>
      </c>
      <c r="E236" s="66" t="n">
        <v>4</v>
      </c>
      <c r="G236" s="68" t="n">
        <v>0.02</v>
      </c>
      <c r="H236" s="65" t="inlineStr">
        <is>
          <t>Bank</t>
        </is>
      </c>
      <c r="I236" s="65" t="inlineStr">
        <is>
          <t>Delivered</t>
        </is>
      </c>
    </row>
    <row r="237">
      <c r="A237" s="64" t="n">
        <v>46157</v>
      </c>
      <c r="B237" s="65" t="inlineStr">
        <is>
          <t>INV-0116</t>
        </is>
      </c>
      <c r="C237" s="65" t="inlineStr">
        <is>
          <t>Delhi Hardware Mart</t>
        </is>
      </c>
      <c r="D237" s="65" t="inlineStr">
        <is>
          <t>Basmati Rice 25kg</t>
        </is>
      </c>
      <c r="E237" s="66" t="n">
        <v>2</v>
      </c>
      <c r="H237" s="65" t="inlineStr">
        <is>
          <t>Bank</t>
        </is>
      </c>
      <c r="I237" s="65" t="inlineStr">
        <is>
          <t>Delivered</t>
        </is>
      </c>
    </row>
    <row r="238">
      <c r="A238" s="64" t="n">
        <v>46157</v>
      </c>
      <c r="B238" s="65" t="inlineStr">
        <is>
          <t>INV-0116</t>
        </is>
      </c>
      <c r="C238" s="65" t="inlineStr">
        <is>
          <t>Delhi Hardware Mart</t>
        </is>
      </c>
      <c r="D238" s="65" t="inlineStr">
        <is>
          <t>LED Bulb 9W</t>
        </is>
      </c>
      <c r="E238" s="66" t="n">
        <v>12</v>
      </c>
      <c r="H238" s="65" t="inlineStr">
        <is>
          <t>Bank</t>
        </is>
      </c>
      <c r="I238" s="65" t="inlineStr">
        <is>
          <t>Delivered</t>
        </is>
      </c>
    </row>
    <row r="239">
      <c r="A239" s="64" t="n">
        <v>46157</v>
      </c>
      <c r="B239" s="65" t="inlineStr">
        <is>
          <t>INV-0117</t>
        </is>
      </c>
      <c r="C239" s="65" t="inlineStr">
        <is>
          <t>Delhi Hardware Mart</t>
        </is>
      </c>
      <c r="D239" s="65" t="inlineStr">
        <is>
          <t>Basmati Rice 25kg</t>
        </is>
      </c>
      <c r="E239" s="66" t="n">
        <v>2</v>
      </c>
      <c r="I239" s="65" t="inlineStr">
        <is>
          <t>Delivered</t>
        </is>
      </c>
    </row>
    <row r="240">
      <c r="A240" s="64" t="n">
        <v>46157</v>
      </c>
      <c r="B240" s="65" t="inlineStr">
        <is>
          <t>INV-0117</t>
        </is>
      </c>
      <c r="C240" s="65" t="inlineStr">
        <is>
          <t>Delhi Hardware Mart</t>
        </is>
      </c>
      <c r="D240" s="65" t="inlineStr">
        <is>
          <t>PVC Pipe 1in 6m</t>
        </is>
      </c>
      <c r="E240" s="66" t="n">
        <v>7</v>
      </c>
      <c r="I240" s="65" t="inlineStr">
        <is>
          <t>Delivered</t>
        </is>
      </c>
    </row>
    <row r="241">
      <c r="A241" s="64" t="n">
        <v>46157</v>
      </c>
      <c r="B241" s="65" t="inlineStr">
        <is>
          <t>INV-0118</t>
        </is>
      </c>
      <c r="C241" s="65" t="inlineStr">
        <is>
          <t>Gupta Electricals</t>
        </is>
      </c>
      <c r="D241" s="65" t="inlineStr">
        <is>
          <t>PVC Pipe 1in 6m</t>
        </is>
      </c>
      <c r="E241" s="66" t="n">
        <v>7</v>
      </c>
      <c r="H241" s="65" t="inlineStr">
        <is>
          <t>UPI</t>
        </is>
      </c>
      <c r="I241" s="65" t="inlineStr">
        <is>
          <t>Delivered</t>
        </is>
      </c>
    </row>
    <row r="242">
      <c r="A242" s="64" t="n">
        <v>46157</v>
      </c>
      <c r="B242" s="65" t="inlineStr">
        <is>
          <t>INV-0118</t>
        </is>
      </c>
      <c r="C242" s="65" t="inlineStr">
        <is>
          <t>Gupta Electricals</t>
        </is>
      </c>
      <c r="D242" s="65" t="inlineStr">
        <is>
          <t>A4 Paper Ream</t>
        </is>
      </c>
      <c r="E242" s="66" t="n">
        <v>4</v>
      </c>
      <c r="G242" s="68" t="n">
        <v>0.02</v>
      </c>
      <c r="H242" s="65" t="inlineStr">
        <is>
          <t>UPI</t>
        </is>
      </c>
      <c r="I242" s="65" t="inlineStr">
        <is>
          <t>Delivered</t>
        </is>
      </c>
    </row>
    <row r="243">
      <c r="A243" s="64" t="n">
        <v>46157</v>
      </c>
      <c r="B243" s="65" t="inlineStr">
        <is>
          <t>INV-0118</t>
        </is>
      </c>
      <c r="C243" s="65" t="inlineStr">
        <is>
          <t>Gupta Electricals</t>
        </is>
      </c>
      <c r="D243" s="65" t="inlineStr">
        <is>
          <t>Detergent 5kg</t>
        </is>
      </c>
      <c r="E243" s="66" t="n">
        <v>1</v>
      </c>
      <c r="H243" s="65" t="inlineStr">
        <is>
          <t>UPI</t>
        </is>
      </c>
      <c r="I243" s="65" t="inlineStr">
        <is>
          <t>Delivered</t>
        </is>
      </c>
    </row>
    <row r="244">
      <c r="A244" s="64" t="n">
        <v>46158</v>
      </c>
      <c r="B244" s="65" t="inlineStr">
        <is>
          <t>INV-0119</t>
        </is>
      </c>
      <c r="C244" s="65" t="inlineStr">
        <is>
          <t>Walk-in Customer</t>
        </is>
      </c>
      <c r="D244" s="65" t="inlineStr">
        <is>
          <t>Basmati Rice 25kg</t>
        </is>
      </c>
      <c r="E244" s="66" t="n">
        <v>1</v>
      </c>
      <c r="G244" s="68" t="n">
        <v>0.02</v>
      </c>
      <c r="H244" s="65" t="inlineStr">
        <is>
          <t>Cash</t>
        </is>
      </c>
      <c r="I244" s="65" t="inlineStr">
        <is>
          <t>Delivered</t>
        </is>
      </c>
    </row>
    <row r="245">
      <c r="A245" s="64" t="n">
        <v>46158</v>
      </c>
      <c r="B245" s="65" t="inlineStr">
        <is>
          <t>INV-0119</t>
        </is>
      </c>
      <c r="C245" s="65" t="inlineStr">
        <is>
          <t>Walk-in Customer</t>
        </is>
      </c>
      <c r="D245" s="65" t="inlineStr">
        <is>
          <t>Ceiling Fan 1200mm</t>
        </is>
      </c>
      <c r="E245" s="66" t="n">
        <v>1</v>
      </c>
      <c r="G245" s="68" t="n">
        <v>0.02</v>
      </c>
      <c r="H245" s="65" t="inlineStr">
        <is>
          <t>Cash</t>
        </is>
      </c>
      <c r="I245" s="65" t="inlineStr">
        <is>
          <t>Delivered</t>
        </is>
      </c>
    </row>
    <row r="246">
      <c r="A246" s="64" t="n">
        <v>46158</v>
      </c>
      <c r="B246" s="65" t="inlineStr">
        <is>
          <t>INV-0120</t>
        </is>
      </c>
      <c r="C246" s="65" t="inlineStr">
        <is>
          <t>Walk-in Customer</t>
        </is>
      </c>
      <c r="D246" s="65" t="inlineStr">
        <is>
          <t>Copper Wire 90m</t>
        </is>
      </c>
      <c r="E246" s="66" t="n">
        <v>1</v>
      </c>
      <c r="H246" s="65" t="inlineStr">
        <is>
          <t>Cash</t>
        </is>
      </c>
      <c r="I246" s="65" t="inlineStr">
        <is>
          <t>Delivered</t>
        </is>
      </c>
    </row>
    <row r="247">
      <c r="A247" s="64" t="n">
        <v>46158</v>
      </c>
      <c r="B247" s="65" t="inlineStr">
        <is>
          <t>INV-0120</t>
        </is>
      </c>
      <c r="C247" s="65" t="inlineStr">
        <is>
          <t>Walk-in Customer</t>
        </is>
      </c>
      <c r="D247" s="65" t="inlineStr">
        <is>
          <t>LED Bulb 9W</t>
        </is>
      </c>
      <c r="E247" s="66" t="n">
        <v>12</v>
      </c>
      <c r="H247" s="65" t="inlineStr">
        <is>
          <t>Cash</t>
        </is>
      </c>
      <c r="I247" s="65" t="inlineStr">
        <is>
          <t>Delivered</t>
        </is>
      </c>
    </row>
    <row r="248">
      <c r="A248" s="64" t="n">
        <v>46158</v>
      </c>
      <c r="B248" s="65" t="inlineStr">
        <is>
          <t>INV-0121</t>
        </is>
      </c>
      <c r="C248" s="65" t="inlineStr">
        <is>
          <t>Gupta Electricals</t>
        </is>
      </c>
      <c r="D248" s="65" t="inlineStr">
        <is>
          <t>Basmati Rice 25kg</t>
        </is>
      </c>
      <c r="E248" s="66" t="n">
        <v>1</v>
      </c>
      <c r="H248" s="65" t="inlineStr">
        <is>
          <t>UPI</t>
        </is>
      </c>
      <c r="I248" s="65" t="inlineStr">
        <is>
          <t>Delivered</t>
        </is>
      </c>
    </row>
    <row r="249">
      <c r="A249" s="64" t="n">
        <v>46158</v>
      </c>
      <c r="B249" s="65" t="inlineStr">
        <is>
          <t>INV-0122</t>
        </is>
      </c>
      <c r="C249" s="65" t="inlineStr">
        <is>
          <t>FMCG Distributors</t>
        </is>
      </c>
      <c r="D249" s="65" t="inlineStr">
        <is>
          <t>Basmati Rice 25kg</t>
        </is>
      </c>
      <c r="E249" s="66" t="n">
        <v>2</v>
      </c>
      <c r="G249" s="68" t="n">
        <v>0.02</v>
      </c>
      <c r="H249" s="65" t="inlineStr">
        <is>
          <t>Bank</t>
        </is>
      </c>
      <c r="I249" s="65" t="inlineStr">
        <is>
          <t>Delivered</t>
        </is>
      </c>
    </row>
    <row r="250">
      <c r="A250" s="64" t="n">
        <v>46160</v>
      </c>
      <c r="B250" s="65" t="inlineStr">
        <is>
          <t>INV-0123</t>
        </is>
      </c>
      <c r="C250" s="65" t="inlineStr">
        <is>
          <t>Sharma Kirana Store</t>
        </is>
      </c>
      <c r="D250" s="65" t="inlineStr">
        <is>
          <t>Tea Premium 1kg</t>
        </is>
      </c>
      <c r="E250" s="66" t="n">
        <v>1</v>
      </c>
      <c r="G250" s="68" t="n">
        <v>0.02</v>
      </c>
      <c r="I250" s="65" t="inlineStr">
        <is>
          <t>Delivered</t>
        </is>
      </c>
    </row>
    <row r="251">
      <c r="A251" s="64" t="n">
        <v>46160</v>
      </c>
      <c r="B251" s="65" t="inlineStr">
        <is>
          <t>INV-0124</t>
        </is>
      </c>
      <c r="C251" s="65" t="inlineStr">
        <is>
          <t>Mehta Constructions</t>
        </is>
      </c>
      <c r="D251" s="65" t="inlineStr">
        <is>
          <t>Sugar 50kg</t>
        </is>
      </c>
      <c r="E251" s="66" t="n">
        <v>1</v>
      </c>
      <c r="I251" s="65" t="inlineStr">
        <is>
          <t>Delivered</t>
        </is>
      </c>
    </row>
    <row r="252">
      <c r="A252" s="64" t="n">
        <v>46160</v>
      </c>
      <c r="B252" s="65" t="inlineStr">
        <is>
          <t>INV-0124</t>
        </is>
      </c>
      <c r="C252" s="65" t="inlineStr">
        <is>
          <t>Mehta Constructions</t>
        </is>
      </c>
      <c r="D252" s="65" t="inlineStr">
        <is>
          <t>Toothpaste 150g x12</t>
        </is>
      </c>
      <c r="E252" s="66" t="n">
        <v>1</v>
      </c>
      <c r="G252" s="68" t="n">
        <v>0.05</v>
      </c>
      <c r="I252" s="65" t="inlineStr">
        <is>
          <t>Delivered</t>
        </is>
      </c>
    </row>
    <row r="253">
      <c r="A253" s="64" t="n">
        <v>46160</v>
      </c>
      <c r="B253" s="65" t="inlineStr">
        <is>
          <t>INV-0125</t>
        </is>
      </c>
      <c r="C253" s="65" t="inlineStr">
        <is>
          <t>Mehta Constructions</t>
        </is>
      </c>
      <c r="D253" s="65" t="inlineStr">
        <is>
          <t>Detergent 5kg</t>
        </is>
      </c>
      <c r="E253" s="66" t="n">
        <v>3</v>
      </c>
      <c r="G253" s="68" t="n">
        <v>0.02</v>
      </c>
      <c r="H253" s="65" t="inlineStr">
        <is>
          <t>UPI</t>
        </is>
      </c>
      <c r="I253" s="65" t="inlineStr">
        <is>
          <t>Delivered</t>
        </is>
      </c>
    </row>
    <row r="254">
      <c r="A254" s="64" t="n">
        <v>46160</v>
      </c>
      <c r="B254" s="65" t="inlineStr">
        <is>
          <t>INV-0125</t>
        </is>
      </c>
      <c r="C254" s="65" t="inlineStr">
        <is>
          <t>Mehta Constructions</t>
        </is>
      </c>
      <c r="D254" s="65" t="inlineStr">
        <is>
          <t>PVC Pipe 1in 6m</t>
        </is>
      </c>
      <c r="E254" s="66" t="n">
        <v>3</v>
      </c>
      <c r="H254" s="65" t="inlineStr">
        <is>
          <t>UPI</t>
        </is>
      </c>
      <c r="I254" s="65" t="inlineStr">
        <is>
          <t>Delivered</t>
        </is>
      </c>
    </row>
    <row r="255">
      <c r="A255" s="64" t="n">
        <v>46161</v>
      </c>
      <c r="B255" s="65" t="inlineStr">
        <is>
          <t>INV-0126</t>
        </is>
      </c>
      <c r="C255" s="65" t="inlineStr">
        <is>
          <t>FMCG Distributors</t>
        </is>
      </c>
      <c r="D255" s="65" t="inlineStr">
        <is>
          <t>Tea Premium 1kg</t>
        </is>
      </c>
      <c r="E255" s="66" t="n">
        <v>1</v>
      </c>
      <c r="I255" s="65" t="inlineStr">
        <is>
          <t>Delivered</t>
        </is>
      </c>
    </row>
    <row r="256">
      <c r="A256" s="64" t="n">
        <v>46161</v>
      </c>
      <c r="B256" s="65" t="inlineStr">
        <is>
          <t>INV-0127</t>
        </is>
      </c>
      <c r="C256" s="65" t="inlineStr">
        <is>
          <t>Mehta Constructions</t>
        </is>
      </c>
      <c r="D256" s="65" t="inlineStr">
        <is>
          <t>Refined Oil 15L</t>
        </is>
      </c>
      <c r="E256" s="66" t="n">
        <v>2</v>
      </c>
      <c r="I256" s="65" t="inlineStr">
        <is>
          <t>Delivered</t>
        </is>
      </c>
    </row>
    <row r="257">
      <c r="A257" s="64" t="n">
        <v>46161</v>
      </c>
      <c r="B257" s="65" t="inlineStr">
        <is>
          <t>INV-0127</t>
        </is>
      </c>
      <c r="C257" s="65" t="inlineStr">
        <is>
          <t>Mehta Constructions</t>
        </is>
      </c>
      <c r="D257" s="65" t="inlineStr">
        <is>
          <t>Detergent 5kg</t>
        </is>
      </c>
      <c r="E257" s="66" t="n">
        <v>2</v>
      </c>
      <c r="I257" s="65" t="inlineStr">
        <is>
          <t>Delivered</t>
        </is>
      </c>
    </row>
    <row r="258">
      <c r="A258" s="64" t="n">
        <v>46161</v>
      </c>
      <c r="B258" s="65" t="inlineStr">
        <is>
          <t>INV-0127</t>
        </is>
      </c>
      <c r="C258" s="65" t="inlineStr">
        <is>
          <t>Mehta Constructions</t>
        </is>
      </c>
      <c r="D258" s="65" t="inlineStr">
        <is>
          <t>Sugar 50kg</t>
        </is>
      </c>
      <c r="E258" s="66" t="n">
        <v>1</v>
      </c>
      <c r="G258" s="68" t="n">
        <v>0.02</v>
      </c>
      <c r="I258" s="65" t="inlineStr">
        <is>
          <t>Delivered</t>
        </is>
      </c>
    </row>
    <row r="259">
      <c r="A259" s="64" t="n">
        <v>46161</v>
      </c>
      <c r="B259" s="65" t="inlineStr">
        <is>
          <t>INV-0128</t>
        </is>
      </c>
      <c r="C259" s="65" t="inlineStr">
        <is>
          <t>Gupta Electricals</t>
        </is>
      </c>
      <c r="D259" s="65" t="inlineStr">
        <is>
          <t>Ceiling Fan 1200mm</t>
        </is>
      </c>
      <c r="E259" s="66" t="n">
        <v>1</v>
      </c>
      <c r="I259" s="65" t="inlineStr">
        <is>
          <t>Delivered</t>
        </is>
      </c>
    </row>
    <row r="260">
      <c r="A260" s="64" t="n">
        <v>46161</v>
      </c>
      <c r="B260" s="65" t="inlineStr">
        <is>
          <t>INV-0128</t>
        </is>
      </c>
      <c r="C260" s="65" t="inlineStr">
        <is>
          <t>Gupta Electricals</t>
        </is>
      </c>
      <c r="D260" s="65" t="inlineStr">
        <is>
          <t>Toothpaste 150g x12</t>
        </is>
      </c>
      <c r="E260" s="66" t="n">
        <v>1</v>
      </c>
      <c r="I260" s="65" t="inlineStr">
        <is>
          <t>Delivered</t>
        </is>
      </c>
    </row>
    <row r="261">
      <c r="A261" s="64" t="n">
        <v>46161</v>
      </c>
      <c r="B261" s="65" t="inlineStr">
        <is>
          <t>INV-0128</t>
        </is>
      </c>
      <c r="C261" s="65" t="inlineStr">
        <is>
          <t>Gupta Electricals</t>
        </is>
      </c>
      <c r="D261" s="65" t="inlineStr">
        <is>
          <t>Detergent 5kg</t>
        </is>
      </c>
      <c r="E261" s="66" t="n">
        <v>1</v>
      </c>
      <c r="I261" s="65" t="inlineStr">
        <is>
          <t>Delivered</t>
        </is>
      </c>
    </row>
    <row r="262">
      <c r="A262" s="64" t="n">
        <v>46162</v>
      </c>
      <c r="B262" s="65" t="inlineStr">
        <is>
          <t>INV-0129</t>
        </is>
      </c>
      <c r="C262" s="65" t="inlineStr">
        <is>
          <t>Walk-in Customer</t>
        </is>
      </c>
      <c r="D262" s="65" t="inlineStr">
        <is>
          <t>Cement 50kg</t>
        </is>
      </c>
      <c r="E262" s="66" t="n">
        <v>5</v>
      </c>
      <c r="G262" s="68" t="n">
        <v>0.05</v>
      </c>
      <c r="H262" s="65" t="inlineStr">
        <is>
          <t>Cash</t>
        </is>
      </c>
      <c r="I262" s="65" t="inlineStr">
        <is>
          <t>Delivered</t>
        </is>
      </c>
    </row>
    <row r="263">
      <c r="A263" s="64" t="n">
        <v>46162</v>
      </c>
      <c r="B263" s="65" t="inlineStr">
        <is>
          <t>INV-0129</t>
        </is>
      </c>
      <c r="C263" s="65" t="inlineStr">
        <is>
          <t>Walk-in Customer</t>
        </is>
      </c>
      <c r="D263" s="65" t="inlineStr">
        <is>
          <t>Basmati Rice 25kg</t>
        </is>
      </c>
      <c r="E263" s="66" t="n">
        <v>1</v>
      </c>
      <c r="G263" s="68" t="n">
        <v>0.05</v>
      </c>
      <c r="H263" s="65" t="inlineStr">
        <is>
          <t>Cash</t>
        </is>
      </c>
      <c r="I263" s="65" t="inlineStr">
        <is>
          <t>Delivered</t>
        </is>
      </c>
    </row>
    <row r="264">
      <c r="A264" s="64" t="n">
        <v>46162</v>
      </c>
      <c r="B264" s="65" t="inlineStr">
        <is>
          <t>INV-0130</t>
        </is>
      </c>
      <c r="C264" s="65" t="inlineStr">
        <is>
          <t>FMCG Distributors</t>
        </is>
      </c>
      <c r="D264" s="65" t="inlineStr">
        <is>
          <t>Tea Premium 1kg</t>
        </is>
      </c>
      <c r="E264" s="66" t="n">
        <v>1</v>
      </c>
      <c r="G264" s="68" t="n">
        <v>0.05</v>
      </c>
      <c r="I264" s="65" t="inlineStr">
        <is>
          <t>Delivered</t>
        </is>
      </c>
    </row>
    <row r="265">
      <c r="A265" s="64" t="n">
        <v>46162</v>
      </c>
      <c r="B265" s="65" t="inlineStr">
        <is>
          <t>INV-0131</t>
        </is>
      </c>
      <c r="C265" s="65" t="inlineStr">
        <is>
          <t>Walk-in Customer</t>
        </is>
      </c>
      <c r="D265" s="65" t="inlineStr">
        <is>
          <t>PVC Pipe 1in 6m</t>
        </is>
      </c>
      <c r="E265" s="66" t="n">
        <v>3</v>
      </c>
      <c r="H265" s="65" t="inlineStr">
        <is>
          <t>Cash</t>
        </is>
      </c>
      <c r="I265" s="65" t="inlineStr">
        <is>
          <t>Delivered</t>
        </is>
      </c>
    </row>
    <row r="266">
      <c r="A266" s="64" t="n">
        <v>46162</v>
      </c>
      <c r="B266" s="65" t="inlineStr">
        <is>
          <t>INV-0131</t>
        </is>
      </c>
      <c r="C266" s="65" t="inlineStr">
        <is>
          <t>Walk-in Customer</t>
        </is>
      </c>
      <c r="D266" s="65" t="inlineStr">
        <is>
          <t>Toothpaste 150g x12</t>
        </is>
      </c>
      <c r="E266" s="66" t="n">
        <v>1</v>
      </c>
      <c r="H266" s="65" t="inlineStr">
        <is>
          <t>Cash</t>
        </is>
      </c>
      <c r="I266" s="65" t="inlineStr">
        <is>
          <t>Delivered</t>
        </is>
      </c>
    </row>
    <row r="267">
      <c r="A267" s="64" t="n">
        <v>46162</v>
      </c>
      <c r="B267" s="65" t="inlineStr">
        <is>
          <t>INV-0131</t>
        </is>
      </c>
      <c r="C267" s="65" t="inlineStr">
        <is>
          <t>Walk-in Customer</t>
        </is>
      </c>
      <c r="D267" s="65" t="inlineStr">
        <is>
          <t>Basmati Rice 25kg</t>
        </is>
      </c>
      <c r="E267" s="66" t="n">
        <v>1</v>
      </c>
      <c r="H267" s="65" t="inlineStr">
        <is>
          <t>Cash</t>
        </is>
      </c>
      <c r="I267" s="65" t="inlineStr">
        <is>
          <t>Delivered</t>
        </is>
      </c>
    </row>
    <row r="268">
      <c r="A268" s="64" t="n">
        <v>46162</v>
      </c>
      <c r="B268" s="65" t="inlineStr">
        <is>
          <t>INV-0132</t>
        </is>
      </c>
      <c r="C268" s="65" t="inlineStr">
        <is>
          <t>FMCG Distributors</t>
        </is>
      </c>
      <c r="D268" s="65" t="inlineStr">
        <is>
          <t>PVC Pipe 1in 6m</t>
        </is>
      </c>
      <c r="E268" s="66" t="n">
        <v>4</v>
      </c>
      <c r="I268" s="65" t="inlineStr">
        <is>
          <t>Delivered</t>
        </is>
      </c>
    </row>
    <row r="269">
      <c r="A269" s="64" t="n">
        <v>46163</v>
      </c>
      <c r="B269" s="65" t="inlineStr">
        <is>
          <t>INV-0133</t>
        </is>
      </c>
      <c r="C269" s="65" t="inlineStr">
        <is>
          <t>Mehta Constructions</t>
        </is>
      </c>
      <c r="D269" s="65" t="inlineStr">
        <is>
          <t>Tea Premium 1kg</t>
        </is>
      </c>
      <c r="E269" s="66" t="n">
        <v>3</v>
      </c>
      <c r="G269" s="68" t="n">
        <v>0.02</v>
      </c>
      <c r="H269" s="65" t="inlineStr">
        <is>
          <t>Bank</t>
        </is>
      </c>
      <c r="I269" s="65" t="inlineStr">
        <is>
          <t>Delivered</t>
        </is>
      </c>
    </row>
    <row r="270">
      <c r="A270" s="64" t="n">
        <v>46163</v>
      </c>
      <c r="B270" s="65" t="inlineStr">
        <is>
          <t>INV-0133</t>
        </is>
      </c>
      <c r="C270" s="65" t="inlineStr">
        <is>
          <t>Mehta Constructions</t>
        </is>
      </c>
      <c r="D270" s="65" t="inlineStr">
        <is>
          <t>Toothpaste 150g x12</t>
        </is>
      </c>
      <c r="E270" s="66" t="n">
        <v>1</v>
      </c>
      <c r="H270" s="65" t="inlineStr">
        <is>
          <t>Bank</t>
        </is>
      </c>
      <c r="I270" s="65" t="inlineStr">
        <is>
          <t>Delivered</t>
        </is>
      </c>
    </row>
    <row r="271">
      <c r="A271" s="64" t="n">
        <v>46163</v>
      </c>
      <c r="B271" s="65" t="inlineStr">
        <is>
          <t>INV-0134</t>
        </is>
      </c>
      <c r="C271" s="65" t="inlineStr">
        <is>
          <t>Walk-in Customer</t>
        </is>
      </c>
      <c r="D271" s="65" t="inlineStr">
        <is>
          <t>Copper Wire 90m</t>
        </is>
      </c>
      <c r="E271" s="66" t="n">
        <v>1</v>
      </c>
      <c r="H271" s="65" t="inlineStr">
        <is>
          <t>Cash</t>
        </is>
      </c>
      <c r="I271" s="65" t="inlineStr">
        <is>
          <t>Delivered</t>
        </is>
      </c>
    </row>
    <row r="272">
      <c r="A272" s="64" t="n">
        <v>46163</v>
      </c>
      <c r="B272" s="65" t="inlineStr">
        <is>
          <t>INV-0134</t>
        </is>
      </c>
      <c r="C272" s="65" t="inlineStr">
        <is>
          <t>Walk-in Customer</t>
        </is>
      </c>
      <c r="D272" s="65" t="inlineStr">
        <is>
          <t>Sugar 50kg</t>
        </is>
      </c>
      <c r="E272" s="66" t="n">
        <v>1</v>
      </c>
      <c r="H272" s="65" t="inlineStr">
        <is>
          <t>Cash</t>
        </is>
      </c>
      <c r="I272" s="65" t="inlineStr">
        <is>
          <t>Delivered</t>
        </is>
      </c>
    </row>
    <row r="273">
      <c r="A273" s="64" t="n">
        <v>46163</v>
      </c>
      <c r="B273" s="65" t="inlineStr">
        <is>
          <t>INV-0135</t>
        </is>
      </c>
      <c r="C273" s="65" t="inlineStr">
        <is>
          <t>Walk-in Customer</t>
        </is>
      </c>
      <c r="D273" s="65" t="inlineStr">
        <is>
          <t>Basmati Rice 25kg</t>
        </is>
      </c>
      <c r="E273" s="66" t="n">
        <v>1</v>
      </c>
      <c r="G273" s="68" t="n">
        <v>0.05</v>
      </c>
      <c r="H273" s="65" t="inlineStr">
        <is>
          <t>Cash</t>
        </is>
      </c>
      <c r="I273" s="65" t="inlineStr">
        <is>
          <t>Delivered</t>
        </is>
      </c>
    </row>
    <row r="274">
      <c r="A274" s="64" t="n">
        <v>46163</v>
      </c>
      <c r="B274" s="65" t="inlineStr">
        <is>
          <t>INV-0135</t>
        </is>
      </c>
      <c r="C274" s="65" t="inlineStr">
        <is>
          <t>Walk-in Customer</t>
        </is>
      </c>
      <c r="D274" s="65" t="inlineStr">
        <is>
          <t>Ceiling Fan 1200mm</t>
        </is>
      </c>
      <c r="E274" s="66" t="n">
        <v>1</v>
      </c>
      <c r="G274" s="68" t="n">
        <v>0.05</v>
      </c>
      <c r="H274" s="65" t="inlineStr">
        <is>
          <t>Cash</t>
        </is>
      </c>
      <c r="I274" s="65" t="inlineStr">
        <is>
          <t>Delivered</t>
        </is>
      </c>
    </row>
    <row r="275">
      <c r="A275" s="64" t="n">
        <v>46163</v>
      </c>
      <c r="B275" s="65" t="inlineStr">
        <is>
          <t>INV-0136</t>
        </is>
      </c>
      <c r="C275" s="65" t="inlineStr">
        <is>
          <t>Walk-in Customer</t>
        </is>
      </c>
      <c r="D275" s="65" t="inlineStr">
        <is>
          <t>Tea Premium 1kg</t>
        </is>
      </c>
      <c r="E275" s="66" t="n">
        <v>1</v>
      </c>
      <c r="G275" s="68" t="n">
        <v>0.05</v>
      </c>
      <c r="H275" s="65" t="inlineStr">
        <is>
          <t>Cash</t>
        </is>
      </c>
      <c r="I275" s="65" t="inlineStr">
        <is>
          <t>Delivered</t>
        </is>
      </c>
    </row>
    <row r="276">
      <c r="A276" s="64" t="n">
        <v>46163</v>
      </c>
      <c r="B276" s="65" t="inlineStr">
        <is>
          <t>INV-0136</t>
        </is>
      </c>
      <c r="C276" s="65" t="inlineStr">
        <is>
          <t>Walk-in Customer</t>
        </is>
      </c>
      <c r="D276" s="65" t="inlineStr">
        <is>
          <t>Refined Oil 15L</t>
        </is>
      </c>
      <c r="E276" s="66" t="n">
        <v>1</v>
      </c>
      <c r="H276" s="65" t="inlineStr">
        <is>
          <t>Cash</t>
        </is>
      </c>
      <c r="I276" s="65" t="inlineStr">
        <is>
          <t>Delivered</t>
        </is>
      </c>
    </row>
    <row r="277">
      <c r="A277" s="64" t="n">
        <v>46163</v>
      </c>
      <c r="B277" s="65" t="inlineStr">
        <is>
          <t>INV-0136</t>
        </is>
      </c>
      <c r="C277" s="65" t="inlineStr">
        <is>
          <t>Walk-in Customer</t>
        </is>
      </c>
      <c r="D277" s="65" t="inlineStr">
        <is>
          <t>Basmati Rice 25kg</t>
        </is>
      </c>
      <c r="E277" s="66" t="n">
        <v>1</v>
      </c>
      <c r="H277" s="65" t="inlineStr">
        <is>
          <t>Cash</t>
        </is>
      </c>
      <c r="I277" s="65" t="inlineStr">
        <is>
          <t>Delivered</t>
        </is>
      </c>
    </row>
    <row r="278">
      <c r="A278" s="64" t="n">
        <v>46164</v>
      </c>
      <c r="B278" s="65" t="inlineStr">
        <is>
          <t>INV-0137</t>
        </is>
      </c>
      <c r="C278" s="65" t="inlineStr">
        <is>
          <t>Sharma Kirana Store</t>
        </is>
      </c>
      <c r="D278" s="65" t="inlineStr">
        <is>
          <t>Refined Oil 15L</t>
        </is>
      </c>
      <c r="E278" s="66" t="n">
        <v>1</v>
      </c>
      <c r="G278" s="68" t="n">
        <v>0.05</v>
      </c>
      <c r="H278" s="65" t="inlineStr">
        <is>
          <t>Bank</t>
        </is>
      </c>
      <c r="I278" s="65" t="inlineStr">
        <is>
          <t>Delivered</t>
        </is>
      </c>
    </row>
    <row r="279">
      <c r="A279" s="64" t="n">
        <v>46164</v>
      </c>
      <c r="B279" s="65" t="inlineStr">
        <is>
          <t>INV-0137</t>
        </is>
      </c>
      <c r="C279" s="65" t="inlineStr">
        <is>
          <t>Sharma Kirana Store</t>
        </is>
      </c>
      <c r="D279" s="65" t="inlineStr">
        <is>
          <t>LED Bulb 9W</t>
        </is>
      </c>
      <c r="E279" s="66" t="n">
        <v>17</v>
      </c>
      <c r="G279" s="68" t="n">
        <v>0.02</v>
      </c>
      <c r="H279" s="65" t="inlineStr">
        <is>
          <t>Bank</t>
        </is>
      </c>
      <c r="I279" s="65" t="inlineStr">
        <is>
          <t>Delivered</t>
        </is>
      </c>
    </row>
    <row r="280">
      <c r="A280" s="64" t="n">
        <v>46164</v>
      </c>
      <c r="B280" s="65" t="inlineStr">
        <is>
          <t>INV-0138</t>
        </is>
      </c>
      <c r="C280" s="65" t="inlineStr">
        <is>
          <t>Delhi Hardware Mart</t>
        </is>
      </c>
      <c r="D280" s="65" t="inlineStr">
        <is>
          <t>Sugar 50kg</t>
        </is>
      </c>
      <c r="E280" s="66" t="n">
        <v>1</v>
      </c>
      <c r="G280" s="68" t="n">
        <v>0.02</v>
      </c>
      <c r="H280" s="65" t="inlineStr">
        <is>
          <t>Bank</t>
        </is>
      </c>
      <c r="I280" s="65" t="inlineStr">
        <is>
          <t>Delivered</t>
        </is>
      </c>
    </row>
    <row r="281">
      <c r="A281" s="64" t="n">
        <v>46164</v>
      </c>
      <c r="B281" s="65" t="inlineStr">
        <is>
          <t>INV-0138</t>
        </is>
      </c>
      <c r="C281" s="65" t="inlineStr">
        <is>
          <t>Delhi Hardware Mart</t>
        </is>
      </c>
      <c r="D281" s="65" t="inlineStr">
        <is>
          <t>Detergent 5kg</t>
        </is>
      </c>
      <c r="E281" s="66" t="n">
        <v>2</v>
      </c>
      <c r="H281" s="65" t="inlineStr">
        <is>
          <t>Bank</t>
        </is>
      </c>
      <c r="I281" s="65" t="inlineStr">
        <is>
          <t>Delivered</t>
        </is>
      </c>
    </row>
    <row r="282">
      <c r="A282" s="64" t="n">
        <v>46165</v>
      </c>
      <c r="B282" s="65" t="inlineStr">
        <is>
          <t>INV-0139</t>
        </is>
      </c>
      <c r="C282" s="65" t="inlineStr">
        <is>
          <t>Walk-in Customer</t>
        </is>
      </c>
      <c r="D282" s="65" t="inlineStr">
        <is>
          <t>Sugar 50kg</t>
        </is>
      </c>
      <c r="E282" s="66" t="n">
        <v>1</v>
      </c>
      <c r="H282" s="65" t="inlineStr">
        <is>
          <t>Cash</t>
        </is>
      </c>
      <c r="I282" s="65" t="inlineStr">
        <is>
          <t>Delivered</t>
        </is>
      </c>
    </row>
    <row r="283">
      <c r="A283" s="64" t="n">
        <v>46165</v>
      </c>
      <c r="B283" s="65" t="inlineStr">
        <is>
          <t>INV-0139</t>
        </is>
      </c>
      <c r="C283" s="65" t="inlineStr">
        <is>
          <t>Walk-in Customer</t>
        </is>
      </c>
      <c r="D283" s="65" t="inlineStr">
        <is>
          <t>A4 Paper Ream</t>
        </is>
      </c>
      <c r="E283" s="66" t="n">
        <v>3</v>
      </c>
      <c r="H283" s="65" t="inlineStr">
        <is>
          <t>Cash</t>
        </is>
      </c>
      <c r="I283" s="65" t="inlineStr">
        <is>
          <t>Delivered</t>
        </is>
      </c>
    </row>
    <row r="284">
      <c r="A284" s="64" t="n">
        <v>46165</v>
      </c>
      <c r="B284" s="65" t="inlineStr">
        <is>
          <t>INV-0139</t>
        </is>
      </c>
      <c r="C284" s="65" t="inlineStr">
        <is>
          <t>Walk-in Customer</t>
        </is>
      </c>
      <c r="D284" s="65" t="inlineStr">
        <is>
          <t>Copper Wire 90m</t>
        </is>
      </c>
      <c r="E284" s="66" t="n">
        <v>1</v>
      </c>
      <c r="H284" s="65" t="inlineStr">
        <is>
          <t>Cash</t>
        </is>
      </c>
      <c r="I284" s="65" t="inlineStr">
        <is>
          <t>Delivered</t>
        </is>
      </c>
    </row>
    <row r="285">
      <c r="A285" s="64" t="n">
        <v>46165</v>
      </c>
      <c r="B285" s="65" t="inlineStr">
        <is>
          <t>INV-0140</t>
        </is>
      </c>
      <c r="C285" s="65" t="inlineStr">
        <is>
          <t>Sharma Kirana Store</t>
        </is>
      </c>
      <c r="D285" s="65" t="inlineStr">
        <is>
          <t>A4 Paper Ream</t>
        </is>
      </c>
      <c r="E285" s="66" t="n">
        <v>3</v>
      </c>
      <c r="I285" s="65" t="inlineStr">
        <is>
          <t>Delivered</t>
        </is>
      </c>
    </row>
    <row r="286">
      <c r="A286" s="64" t="n">
        <v>46165</v>
      </c>
      <c r="B286" s="65" t="inlineStr">
        <is>
          <t>INV-0140</t>
        </is>
      </c>
      <c r="C286" s="65" t="inlineStr">
        <is>
          <t>Sharma Kirana Store</t>
        </is>
      </c>
      <c r="D286" s="65" t="inlineStr">
        <is>
          <t>PVC Pipe 1in 6m</t>
        </is>
      </c>
      <c r="E286" s="66" t="n">
        <v>2</v>
      </c>
      <c r="G286" s="68" t="n">
        <v>0.05</v>
      </c>
      <c r="I286" s="65" t="inlineStr">
        <is>
          <t>Delivered</t>
        </is>
      </c>
    </row>
    <row r="287">
      <c r="A287" s="64" t="n">
        <v>46165</v>
      </c>
      <c r="B287" s="65" t="inlineStr">
        <is>
          <t>INV-0140</t>
        </is>
      </c>
      <c r="C287" s="65" t="inlineStr">
        <is>
          <t>Sharma Kirana Store</t>
        </is>
      </c>
      <c r="D287" s="65" t="inlineStr">
        <is>
          <t>Detergent 5kg</t>
        </is>
      </c>
      <c r="E287" s="66" t="n">
        <v>1</v>
      </c>
      <c r="I287" s="65" t="inlineStr">
        <is>
          <t>Delivered</t>
        </is>
      </c>
    </row>
    <row r="288">
      <c r="A288" s="64" t="n">
        <v>46165</v>
      </c>
      <c r="B288" s="65" t="inlineStr">
        <is>
          <t>INV-0141</t>
        </is>
      </c>
      <c r="C288" s="65" t="inlineStr">
        <is>
          <t>Walk-in Customer</t>
        </is>
      </c>
      <c r="D288" s="65" t="inlineStr">
        <is>
          <t>Refined Oil 15L</t>
        </is>
      </c>
      <c r="E288" s="66" t="n">
        <v>1</v>
      </c>
      <c r="G288" s="68" t="n">
        <v>0.02</v>
      </c>
      <c r="H288" s="65" t="inlineStr">
        <is>
          <t>Cash</t>
        </is>
      </c>
      <c r="I288" s="65" t="inlineStr">
        <is>
          <t>Delivered</t>
        </is>
      </c>
    </row>
    <row r="289">
      <c r="A289" s="64" t="n">
        <v>46165</v>
      </c>
      <c r="B289" s="65" t="inlineStr">
        <is>
          <t>INV-0141</t>
        </is>
      </c>
      <c r="C289" s="65" t="inlineStr">
        <is>
          <t>Walk-in Customer</t>
        </is>
      </c>
      <c r="D289" s="65" t="inlineStr">
        <is>
          <t>Toothpaste 150g x12</t>
        </is>
      </c>
      <c r="E289" s="66" t="n">
        <v>1</v>
      </c>
      <c r="H289" s="65" t="inlineStr">
        <is>
          <t>Cash</t>
        </is>
      </c>
      <c r="I289" s="65" t="inlineStr">
        <is>
          <t>Delivered</t>
        </is>
      </c>
    </row>
    <row r="290">
      <c r="A290" s="64" t="n">
        <v>46165</v>
      </c>
      <c r="B290" s="65" t="inlineStr">
        <is>
          <t>INV-0142</t>
        </is>
      </c>
      <c r="C290" s="65" t="inlineStr">
        <is>
          <t>Walk-in Customer</t>
        </is>
      </c>
      <c r="D290" s="65" t="inlineStr">
        <is>
          <t>Copper Wire 90m</t>
        </is>
      </c>
      <c r="E290" s="66" t="n">
        <v>1</v>
      </c>
      <c r="G290" s="68" t="n">
        <v>0.02</v>
      </c>
      <c r="H290" s="65" t="inlineStr">
        <is>
          <t>Cash</t>
        </is>
      </c>
      <c r="I290" s="65" t="inlineStr">
        <is>
          <t>Delivered</t>
        </is>
      </c>
    </row>
    <row r="291">
      <c r="A291" s="64" t="n">
        <v>46165</v>
      </c>
      <c r="B291" s="65" t="inlineStr">
        <is>
          <t>INV-0142</t>
        </is>
      </c>
      <c r="C291" s="65" t="inlineStr">
        <is>
          <t>Walk-in Customer</t>
        </is>
      </c>
      <c r="D291" s="65" t="inlineStr">
        <is>
          <t>PVC Pipe 1in 6m</t>
        </is>
      </c>
      <c r="E291" s="66" t="n">
        <v>9</v>
      </c>
      <c r="H291" s="65" t="inlineStr">
        <is>
          <t>Cash</t>
        </is>
      </c>
      <c r="I291" s="65" t="inlineStr">
        <is>
          <t>Delivered</t>
        </is>
      </c>
    </row>
    <row r="292">
      <c r="A292" s="64" t="n">
        <v>46165</v>
      </c>
      <c r="B292" s="65" t="inlineStr">
        <is>
          <t>INV-0142</t>
        </is>
      </c>
      <c r="C292" s="65" t="inlineStr">
        <is>
          <t>Walk-in Customer</t>
        </is>
      </c>
      <c r="D292" s="65" t="inlineStr">
        <is>
          <t>Basmati Rice 25kg</t>
        </is>
      </c>
      <c r="E292" s="66" t="n">
        <v>1</v>
      </c>
      <c r="H292" s="65" t="inlineStr">
        <is>
          <t>Cash</t>
        </is>
      </c>
      <c r="I292" s="65" t="inlineStr">
        <is>
          <t>Delivered</t>
        </is>
      </c>
    </row>
    <row r="293">
      <c r="A293" s="64" t="n">
        <v>46167</v>
      </c>
      <c r="B293" s="65" t="inlineStr">
        <is>
          <t>INV-0143</t>
        </is>
      </c>
      <c r="C293" s="65" t="inlineStr">
        <is>
          <t>Walk-in Customer</t>
        </is>
      </c>
      <c r="D293" s="65" t="inlineStr">
        <is>
          <t>Cement 50kg</t>
        </is>
      </c>
      <c r="E293" s="66" t="n">
        <v>11</v>
      </c>
      <c r="H293" s="65" t="inlineStr">
        <is>
          <t>Cash</t>
        </is>
      </c>
      <c r="I293" s="65" t="inlineStr">
        <is>
          <t>Delivered</t>
        </is>
      </c>
    </row>
    <row r="294">
      <c r="A294" s="64" t="n">
        <v>46167</v>
      </c>
      <c r="B294" s="65" t="inlineStr">
        <is>
          <t>INV-0144</t>
        </is>
      </c>
      <c r="C294" s="65" t="inlineStr">
        <is>
          <t>Sharma Kirana Store</t>
        </is>
      </c>
      <c r="D294" s="65" t="inlineStr">
        <is>
          <t>Sugar 50kg</t>
        </is>
      </c>
      <c r="E294" s="66" t="n">
        <v>1</v>
      </c>
      <c r="I294" s="65" t="inlineStr">
        <is>
          <t>Delivered</t>
        </is>
      </c>
    </row>
    <row r="295">
      <c r="A295" s="64" t="n">
        <v>46167</v>
      </c>
      <c r="B295" s="65" t="inlineStr">
        <is>
          <t>INV-0145</t>
        </is>
      </c>
      <c r="C295" s="65" t="inlineStr">
        <is>
          <t>FMCG Distributors</t>
        </is>
      </c>
      <c r="D295" s="65" t="inlineStr">
        <is>
          <t>Basmati Rice 25kg</t>
        </is>
      </c>
      <c r="E295" s="66" t="n">
        <v>1</v>
      </c>
      <c r="I295" s="65" t="inlineStr">
        <is>
          <t>Delivered</t>
        </is>
      </c>
    </row>
    <row r="296">
      <c r="A296" s="64" t="n">
        <v>46168</v>
      </c>
      <c r="B296" s="65" t="inlineStr">
        <is>
          <t>INV-0146</t>
        </is>
      </c>
      <c r="C296" s="65" t="inlineStr">
        <is>
          <t>Mehta Constructions</t>
        </is>
      </c>
      <c r="D296" s="65" t="inlineStr">
        <is>
          <t>Refined Oil 15L</t>
        </is>
      </c>
      <c r="E296" s="66" t="n">
        <v>1</v>
      </c>
      <c r="H296" s="65" t="inlineStr">
        <is>
          <t>UPI</t>
        </is>
      </c>
      <c r="I296" s="65" t="inlineStr">
        <is>
          <t>Delivered</t>
        </is>
      </c>
    </row>
    <row r="297">
      <c r="A297" s="64" t="n">
        <v>46168</v>
      </c>
      <c r="B297" s="65" t="inlineStr">
        <is>
          <t>INV-0147</t>
        </is>
      </c>
      <c r="C297" s="65" t="inlineStr">
        <is>
          <t>Mehta Constructions</t>
        </is>
      </c>
      <c r="D297" s="65" t="inlineStr">
        <is>
          <t>LED Bulb 9W</t>
        </is>
      </c>
      <c r="E297" s="66" t="n">
        <v>5</v>
      </c>
      <c r="I297" s="65" t="inlineStr">
        <is>
          <t>Delivered</t>
        </is>
      </c>
    </row>
    <row r="298">
      <c r="A298" s="64" t="n">
        <v>46168</v>
      </c>
      <c r="B298" s="65" t="inlineStr">
        <is>
          <t>INV-0147</t>
        </is>
      </c>
      <c r="C298" s="65" t="inlineStr">
        <is>
          <t>Mehta Constructions</t>
        </is>
      </c>
      <c r="D298" s="65" t="inlineStr">
        <is>
          <t>Detergent 5kg</t>
        </is>
      </c>
      <c r="E298" s="66" t="n">
        <v>3</v>
      </c>
      <c r="I298" s="65" t="inlineStr">
        <is>
          <t>Delivered</t>
        </is>
      </c>
    </row>
    <row r="299">
      <c r="A299" s="64" t="n">
        <v>46169</v>
      </c>
      <c r="B299" s="65" t="inlineStr">
        <is>
          <t>INV-0148</t>
        </is>
      </c>
      <c r="C299" s="65" t="inlineStr">
        <is>
          <t>FMCG Distributors</t>
        </is>
      </c>
      <c r="D299" s="65" t="inlineStr">
        <is>
          <t>Detergent 5kg</t>
        </is>
      </c>
      <c r="E299" s="66" t="n">
        <v>3</v>
      </c>
      <c r="H299" s="65" t="inlineStr">
        <is>
          <t>Bank</t>
        </is>
      </c>
      <c r="I299" s="65" t="inlineStr">
        <is>
          <t>Delivered</t>
        </is>
      </c>
    </row>
    <row r="300">
      <c r="A300" s="64" t="n">
        <v>46169</v>
      </c>
      <c r="B300" s="65" t="inlineStr">
        <is>
          <t>INV-0148</t>
        </is>
      </c>
      <c r="C300" s="65" t="inlineStr">
        <is>
          <t>FMCG Distributors</t>
        </is>
      </c>
      <c r="D300" s="65" t="inlineStr">
        <is>
          <t>Cement 50kg</t>
        </is>
      </c>
      <c r="E300" s="66" t="n">
        <v>6</v>
      </c>
      <c r="H300" s="65" t="inlineStr">
        <is>
          <t>Bank</t>
        </is>
      </c>
      <c r="I300" s="65" t="inlineStr">
        <is>
          <t>Delivered</t>
        </is>
      </c>
    </row>
    <row r="301">
      <c r="A301" s="64" t="n">
        <v>46169</v>
      </c>
      <c r="B301" s="65" t="inlineStr">
        <is>
          <t>INV-0148</t>
        </is>
      </c>
      <c r="C301" s="65" t="inlineStr">
        <is>
          <t>FMCG Distributors</t>
        </is>
      </c>
      <c r="D301" s="65" t="inlineStr">
        <is>
          <t>Basmati Rice 25kg</t>
        </is>
      </c>
      <c r="E301" s="66" t="n">
        <v>1</v>
      </c>
      <c r="H301" s="65" t="inlineStr">
        <is>
          <t>Bank</t>
        </is>
      </c>
      <c r="I301" s="65" t="inlineStr">
        <is>
          <t>Delivered</t>
        </is>
      </c>
    </row>
    <row r="302">
      <c r="A302" s="64" t="n">
        <v>46169</v>
      </c>
      <c r="B302" s="65" t="inlineStr">
        <is>
          <t>INV-0149</t>
        </is>
      </c>
      <c r="C302" s="65" t="inlineStr">
        <is>
          <t>Walk-in Customer</t>
        </is>
      </c>
      <c r="D302" s="65" t="inlineStr">
        <is>
          <t>Cement 50kg</t>
        </is>
      </c>
      <c r="E302" s="66" t="n">
        <v>10</v>
      </c>
      <c r="H302" s="65" t="inlineStr">
        <is>
          <t>Cash</t>
        </is>
      </c>
      <c r="I302" s="65" t="inlineStr">
        <is>
          <t>Delivered</t>
        </is>
      </c>
    </row>
    <row r="303">
      <c r="A303" s="64" t="n">
        <v>46169</v>
      </c>
      <c r="B303" s="65" t="inlineStr">
        <is>
          <t>INV-0150</t>
        </is>
      </c>
      <c r="C303" s="65" t="inlineStr">
        <is>
          <t>Walk-in Customer</t>
        </is>
      </c>
      <c r="D303" s="65" t="inlineStr">
        <is>
          <t>PVC Pipe 1in 6m</t>
        </is>
      </c>
      <c r="E303" s="66" t="n">
        <v>3</v>
      </c>
      <c r="H303" s="65" t="inlineStr">
        <is>
          <t>Cash</t>
        </is>
      </c>
      <c r="I303" s="65" t="inlineStr">
        <is>
          <t>Delivered</t>
        </is>
      </c>
    </row>
    <row r="304">
      <c r="A304" s="64" t="n">
        <v>46170</v>
      </c>
      <c r="B304" s="65" t="inlineStr">
        <is>
          <t>INV-0151</t>
        </is>
      </c>
      <c r="C304" s="65" t="inlineStr">
        <is>
          <t>FMCG Distributors</t>
        </is>
      </c>
      <c r="D304" s="65" t="inlineStr">
        <is>
          <t>Copper Wire 90m</t>
        </is>
      </c>
      <c r="E304" s="66" t="n">
        <v>1</v>
      </c>
      <c r="H304" s="65" t="inlineStr">
        <is>
          <t>UPI</t>
        </is>
      </c>
      <c r="I304" s="65" t="inlineStr">
        <is>
          <t>Delivered</t>
        </is>
      </c>
    </row>
    <row r="305">
      <c r="A305" s="64" t="n">
        <v>46170</v>
      </c>
      <c r="B305" s="65" t="inlineStr">
        <is>
          <t>INV-0152</t>
        </is>
      </c>
      <c r="C305" s="65" t="inlineStr">
        <is>
          <t>Walk-in Customer</t>
        </is>
      </c>
      <c r="D305" s="65" t="inlineStr">
        <is>
          <t>PVC Pipe 1in 6m</t>
        </is>
      </c>
      <c r="E305" s="66" t="n">
        <v>6</v>
      </c>
      <c r="H305" s="65" t="inlineStr">
        <is>
          <t>Cash</t>
        </is>
      </c>
      <c r="I305" s="65" t="inlineStr">
        <is>
          <t>Delivered</t>
        </is>
      </c>
    </row>
    <row r="306">
      <c r="A306" s="64" t="n">
        <v>46170</v>
      </c>
      <c r="B306" s="65" t="inlineStr">
        <is>
          <t>INV-0152</t>
        </is>
      </c>
      <c r="C306" s="65" t="inlineStr">
        <is>
          <t>Walk-in Customer</t>
        </is>
      </c>
      <c r="D306" s="65" t="inlineStr">
        <is>
          <t>Detergent 5kg</t>
        </is>
      </c>
      <c r="E306" s="66" t="n">
        <v>1</v>
      </c>
      <c r="H306" s="65" t="inlineStr">
        <is>
          <t>Cash</t>
        </is>
      </c>
      <c r="I306" s="65" t="inlineStr">
        <is>
          <t>Delivered</t>
        </is>
      </c>
    </row>
    <row r="307">
      <c r="A307" s="64" t="n">
        <v>46171</v>
      </c>
      <c r="B307" s="65" t="inlineStr">
        <is>
          <t>INV-0153</t>
        </is>
      </c>
      <c r="C307" s="65" t="inlineStr">
        <is>
          <t>Walk-in Customer</t>
        </is>
      </c>
      <c r="D307" s="65" t="inlineStr">
        <is>
          <t>Sugar 50kg</t>
        </is>
      </c>
      <c r="E307" s="66" t="n">
        <v>1</v>
      </c>
      <c r="G307" s="68" t="n">
        <v>0.02</v>
      </c>
      <c r="H307" s="65" t="inlineStr">
        <is>
          <t>Cash</t>
        </is>
      </c>
      <c r="I307" s="65" t="inlineStr">
        <is>
          <t>Delivered</t>
        </is>
      </c>
    </row>
    <row r="308">
      <c r="A308" s="64" t="n">
        <v>46171</v>
      </c>
      <c r="B308" s="65" t="inlineStr">
        <is>
          <t>INV-0153</t>
        </is>
      </c>
      <c r="C308" s="65" t="inlineStr">
        <is>
          <t>Walk-in Customer</t>
        </is>
      </c>
      <c r="D308" s="65" t="inlineStr">
        <is>
          <t>A4 Paper Ream</t>
        </is>
      </c>
      <c r="E308" s="66" t="n">
        <v>6</v>
      </c>
      <c r="G308" s="68" t="n">
        <v>0.05</v>
      </c>
      <c r="H308" s="65" t="inlineStr">
        <is>
          <t>Cash</t>
        </is>
      </c>
      <c r="I308" s="65" t="inlineStr">
        <is>
          <t>Delivered</t>
        </is>
      </c>
    </row>
    <row r="309">
      <c r="A309" s="64" t="n">
        <v>46171</v>
      </c>
      <c r="B309" s="65" t="inlineStr">
        <is>
          <t>INV-0154</t>
        </is>
      </c>
      <c r="C309" s="65" t="inlineStr">
        <is>
          <t>Gupta Electricals</t>
        </is>
      </c>
      <c r="D309" s="65" t="inlineStr">
        <is>
          <t>Sugar 50kg</t>
        </is>
      </c>
      <c r="E309" s="66" t="n">
        <v>1</v>
      </c>
      <c r="I309" s="65" t="inlineStr">
        <is>
          <t>Delivered</t>
        </is>
      </c>
    </row>
    <row r="310">
      <c r="A310" s="64" t="n">
        <v>46171</v>
      </c>
      <c r="B310" s="65" t="inlineStr">
        <is>
          <t>INV-0154</t>
        </is>
      </c>
      <c r="C310" s="65" t="inlineStr">
        <is>
          <t>Gupta Electricals</t>
        </is>
      </c>
      <c r="D310" s="65" t="inlineStr">
        <is>
          <t>LED Bulb 9W</t>
        </is>
      </c>
      <c r="E310" s="66" t="n">
        <v>13</v>
      </c>
      <c r="I310" s="65" t="inlineStr">
        <is>
          <t>Delivered</t>
        </is>
      </c>
    </row>
    <row r="311">
      <c r="A311" s="64" t="n">
        <v>46171</v>
      </c>
      <c r="B311" s="65" t="inlineStr">
        <is>
          <t>INV-0155</t>
        </is>
      </c>
      <c r="C311" s="65" t="inlineStr">
        <is>
          <t>FMCG Distributors</t>
        </is>
      </c>
      <c r="D311" s="65" t="inlineStr">
        <is>
          <t>Detergent 5kg</t>
        </is>
      </c>
      <c r="E311" s="66" t="n">
        <v>3</v>
      </c>
      <c r="G311" s="68" t="n">
        <v>0.05</v>
      </c>
      <c r="I311" s="65" t="inlineStr">
        <is>
          <t>Delivered</t>
        </is>
      </c>
    </row>
    <row r="312">
      <c r="A312" s="64" t="n">
        <v>46171</v>
      </c>
      <c r="B312" s="65" t="inlineStr">
        <is>
          <t>INV-0155</t>
        </is>
      </c>
      <c r="C312" s="65" t="inlineStr">
        <is>
          <t>FMCG Distributors</t>
        </is>
      </c>
      <c r="D312" s="65" t="inlineStr">
        <is>
          <t>LED Bulb 9W</t>
        </is>
      </c>
      <c r="E312" s="66" t="n">
        <v>8</v>
      </c>
      <c r="I312" s="65" t="inlineStr">
        <is>
          <t>Delivered</t>
        </is>
      </c>
    </row>
    <row r="313">
      <c r="A313" s="64" t="n">
        <v>46172</v>
      </c>
      <c r="B313" s="65" t="inlineStr">
        <is>
          <t>INV-0156</t>
        </is>
      </c>
      <c r="C313" s="65" t="inlineStr">
        <is>
          <t>Delhi Hardware Mart</t>
        </is>
      </c>
      <c r="D313" s="65" t="inlineStr">
        <is>
          <t>Toothpaste 150g x12</t>
        </is>
      </c>
      <c r="E313" s="66" t="n">
        <v>1</v>
      </c>
      <c r="G313" s="68" t="n">
        <v>0.05</v>
      </c>
      <c r="H313" s="65" t="inlineStr">
        <is>
          <t>Bank</t>
        </is>
      </c>
      <c r="I313" s="65" t="inlineStr">
        <is>
          <t>Delivered</t>
        </is>
      </c>
    </row>
    <row r="314">
      <c r="A314" s="64" t="n">
        <v>46172</v>
      </c>
      <c r="B314" s="65" t="inlineStr">
        <is>
          <t>INV-0157</t>
        </is>
      </c>
      <c r="C314" s="65" t="inlineStr">
        <is>
          <t>Delhi Hardware Mart</t>
        </is>
      </c>
      <c r="D314" s="65" t="inlineStr">
        <is>
          <t>Refined Oil 15L</t>
        </is>
      </c>
      <c r="E314" s="66" t="n">
        <v>1</v>
      </c>
      <c r="H314" s="65" t="inlineStr">
        <is>
          <t>UPI</t>
        </is>
      </c>
      <c r="I314" s="65" t="inlineStr">
        <is>
          <t>Delivered</t>
        </is>
      </c>
    </row>
    <row r="315">
      <c r="A315" s="64" t="n">
        <v>46172</v>
      </c>
      <c r="B315" s="65" t="inlineStr">
        <is>
          <t>INV-0157</t>
        </is>
      </c>
      <c r="C315" s="65" t="inlineStr">
        <is>
          <t>Delhi Hardware Mart</t>
        </is>
      </c>
      <c r="D315" s="65" t="inlineStr">
        <is>
          <t>Copper Wire 90m</t>
        </is>
      </c>
      <c r="E315" s="66" t="n">
        <v>1</v>
      </c>
      <c r="H315" s="65" t="inlineStr">
        <is>
          <t>UPI</t>
        </is>
      </c>
      <c r="I315" s="65" t="inlineStr">
        <is>
          <t>Delivered</t>
        </is>
      </c>
    </row>
    <row r="316">
      <c r="A316" s="64" t="n">
        <v>46172</v>
      </c>
      <c r="B316" s="65" t="inlineStr">
        <is>
          <t>INV-0158</t>
        </is>
      </c>
      <c r="C316" s="65" t="inlineStr">
        <is>
          <t>FMCG Distributors</t>
        </is>
      </c>
      <c r="D316" s="65" t="inlineStr">
        <is>
          <t>PVC Pipe 1in 6m</t>
        </is>
      </c>
      <c r="E316" s="66" t="n">
        <v>4</v>
      </c>
      <c r="G316" s="68" t="n">
        <v>0.05</v>
      </c>
      <c r="H316" s="65" t="inlineStr">
        <is>
          <t>UPI</t>
        </is>
      </c>
      <c r="I316" s="65" t="inlineStr">
        <is>
          <t>Delivered</t>
        </is>
      </c>
    </row>
    <row r="317">
      <c r="A317" s="64" t="n">
        <v>46172</v>
      </c>
      <c r="B317" s="65" t="inlineStr">
        <is>
          <t>INV-0158</t>
        </is>
      </c>
      <c r="C317" s="65" t="inlineStr">
        <is>
          <t>FMCG Distributors</t>
        </is>
      </c>
      <c r="D317" s="65" t="inlineStr">
        <is>
          <t>Tea Premium 1kg</t>
        </is>
      </c>
      <c r="E317" s="66" t="n">
        <v>1</v>
      </c>
      <c r="H317" s="65" t="inlineStr">
        <is>
          <t>UPI</t>
        </is>
      </c>
      <c r="I317" s="65" t="inlineStr">
        <is>
          <t>Delivered</t>
        </is>
      </c>
    </row>
    <row r="318">
      <c r="A318" s="64" t="n">
        <v>46172</v>
      </c>
      <c r="B318" s="65" t="inlineStr">
        <is>
          <t>INV-0159</t>
        </is>
      </c>
      <c r="C318" s="65" t="inlineStr">
        <is>
          <t>Walk-in Customer</t>
        </is>
      </c>
      <c r="D318" s="65" t="inlineStr">
        <is>
          <t>Cement 50kg</t>
        </is>
      </c>
      <c r="E318" s="66" t="n">
        <v>5</v>
      </c>
      <c r="H318" s="65" t="inlineStr">
        <is>
          <t>Cash</t>
        </is>
      </c>
      <c r="I318" s="65" t="inlineStr">
        <is>
          <t>Delivered</t>
        </is>
      </c>
    </row>
    <row r="319">
      <c r="A319" s="64" t="n">
        <v>46172</v>
      </c>
      <c r="B319" s="65" t="inlineStr">
        <is>
          <t>INV-0159</t>
        </is>
      </c>
      <c r="C319" s="65" t="inlineStr">
        <is>
          <t>Walk-in Customer</t>
        </is>
      </c>
      <c r="D319" s="65" t="inlineStr">
        <is>
          <t>PVC Pipe 1in 6m</t>
        </is>
      </c>
      <c r="E319" s="66" t="n">
        <v>4</v>
      </c>
      <c r="H319" s="65" t="inlineStr">
        <is>
          <t>Cash</t>
        </is>
      </c>
      <c r="I319" s="65" t="inlineStr">
        <is>
          <t>Delivered</t>
        </is>
      </c>
    </row>
    <row r="320">
      <c r="A320" s="64" t="n">
        <v>46174</v>
      </c>
      <c r="B320" s="65" t="inlineStr">
        <is>
          <t>INV-0160</t>
        </is>
      </c>
      <c r="C320" s="65" t="inlineStr">
        <is>
          <t>Mehta Constructions</t>
        </is>
      </c>
      <c r="D320" s="65" t="inlineStr">
        <is>
          <t>Detergent 5kg</t>
        </is>
      </c>
      <c r="E320" s="66" t="n">
        <v>2</v>
      </c>
      <c r="I320" s="65" t="inlineStr">
        <is>
          <t>Delivered</t>
        </is>
      </c>
    </row>
    <row r="321">
      <c r="A321" s="64" t="n">
        <v>46174</v>
      </c>
      <c r="B321" s="65" t="inlineStr">
        <is>
          <t>INV-0160</t>
        </is>
      </c>
      <c r="C321" s="65" t="inlineStr">
        <is>
          <t>Mehta Constructions</t>
        </is>
      </c>
      <c r="D321" s="65" t="inlineStr">
        <is>
          <t>Tea Premium 1kg</t>
        </is>
      </c>
      <c r="E321" s="66" t="n">
        <v>2</v>
      </c>
      <c r="G321" s="68" t="n">
        <v>0.02</v>
      </c>
      <c r="I321" s="65" t="inlineStr">
        <is>
          <t>Delivered</t>
        </is>
      </c>
    </row>
    <row r="322">
      <c r="A322" s="64" t="n">
        <v>46174</v>
      </c>
      <c r="B322" s="65" t="inlineStr">
        <is>
          <t>INV-0160</t>
        </is>
      </c>
      <c r="C322" s="65" t="inlineStr">
        <is>
          <t>Mehta Constructions</t>
        </is>
      </c>
      <c r="D322" s="65" t="inlineStr">
        <is>
          <t>Sugar 50kg</t>
        </is>
      </c>
      <c r="E322" s="66" t="n">
        <v>1</v>
      </c>
      <c r="I322" s="65" t="inlineStr">
        <is>
          <t>Delivered</t>
        </is>
      </c>
    </row>
    <row r="323">
      <c r="A323" s="64" t="n">
        <v>46174</v>
      </c>
      <c r="B323" s="65" t="inlineStr">
        <is>
          <t>INV-0161</t>
        </is>
      </c>
      <c r="C323" s="65" t="inlineStr">
        <is>
          <t>Walk-in Customer</t>
        </is>
      </c>
      <c r="D323" s="65" t="inlineStr">
        <is>
          <t>Ceiling Fan 1200mm</t>
        </is>
      </c>
      <c r="E323" s="66" t="n">
        <v>1</v>
      </c>
      <c r="H323" s="65" t="inlineStr">
        <is>
          <t>Cash</t>
        </is>
      </c>
      <c r="I323" s="65" t="inlineStr">
        <is>
          <t>Delivered</t>
        </is>
      </c>
    </row>
    <row r="324">
      <c r="A324" s="64" t="n">
        <v>46174</v>
      </c>
      <c r="B324" s="65" t="inlineStr">
        <is>
          <t>INV-0161</t>
        </is>
      </c>
      <c r="C324" s="65" t="inlineStr">
        <is>
          <t>Walk-in Customer</t>
        </is>
      </c>
      <c r="D324" s="65" t="inlineStr">
        <is>
          <t>Tea Premium 1kg</t>
        </is>
      </c>
      <c r="E324" s="66" t="n">
        <v>2</v>
      </c>
      <c r="H324" s="65" t="inlineStr">
        <is>
          <t>Cash</t>
        </is>
      </c>
      <c r="I324" s="65" t="inlineStr">
        <is>
          <t>Delivered</t>
        </is>
      </c>
    </row>
    <row r="325">
      <c r="A325" s="64" t="n">
        <v>46174</v>
      </c>
      <c r="B325" s="65" t="inlineStr">
        <is>
          <t>INV-0161</t>
        </is>
      </c>
      <c r="C325" s="65" t="inlineStr">
        <is>
          <t>Walk-in Customer</t>
        </is>
      </c>
      <c r="D325" s="65" t="inlineStr">
        <is>
          <t>PVC Pipe 1in 6m</t>
        </is>
      </c>
      <c r="E325" s="66" t="n">
        <v>4</v>
      </c>
      <c r="G325" s="68" t="n">
        <v>0.02</v>
      </c>
      <c r="H325" s="65" t="inlineStr">
        <is>
          <t>Cash</t>
        </is>
      </c>
      <c r="I325" s="65" t="inlineStr">
        <is>
          <t>Delivered</t>
        </is>
      </c>
    </row>
    <row r="326">
      <c r="A326" s="64" t="n">
        <v>46174</v>
      </c>
      <c r="B326" s="65" t="inlineStr">
        <is>
          <t>INV-0162</t>
        </is>
      </c>
      <c r="C326" s="65" t="inlineStr">
        <is>
          <t>Sharma Kirana Store</t>
        </is>
      </c>
      <c r="D326" s="65" t="inlineStr">
        <is>
          <t>Ceiling Fan 1200mm</t>
        </is>
      </c>
      <c r="E326" s="66" t="n">
        <v>1</v>
      </c>
      <c r="G326" s="68" t="n">
        <v>0.02</v>
      </c>
      <c r="I326" s="65" t="inlineStr">
        <is>
          <t>Delivered</t>
        </is>
      </c>
    </row>
    <row r="327">
      <c r="A327" s="64" t="n">
        <v>46174</v>
      </c>
      <c r="B327" s="65" t="inlineStr">
        <is>
          <t>INV-0162</t>
        </is>
      </c>
      <c r="C327" s="65" t="inlineStr">
        <is>
          <t>Sharma Kirana Store</t>
        </is>
      </c>
      <c r="D327" s="65" t="inlineStr">
        <is>
          <t>Cement 50kg</t>
        </is>
      </c>
      <c r="E327" s="66" t="n">
        <v>10</v>
      </c>
      <c r="G327" s="68" t="n">
        <v>0.05</v>
      </c>
      <c r="I327" s="65" t="inlineStr">
        <is>
          <t>Delivered</t>
        </is>
      </c>
    </row>
    <row r="328">
      <c r="A328" s="64" t="n">
        <v>46175</v>
      </c>
      <c r="B328" s="65" t="inlineStr">
        <is>
          <t>INV-0163</t>
        </is>
      </c>
      <c r="C328" s="65" t="inlineStr">
        <is>
          <t>Gupta Electricals</t>
        </is>
      </c>
      <c r="D328" s="65" t="inlineStr">
        <is>
          <t>Toothpaste 150g x12</t>
        </is>
      </c>
      <c r="E328" s="66" t="n">
        <v>2</v>
      </c>
      <c r="H328" s="65" t="inlineStr">
        <is>
          <t>UPI</t>
        </is>
      </c>
      <c r="I328" s="65" t="inlineStr">
        <is>
          <t>Delivered</t>
        </is>
      </c>
    </row>
    <row r="329">
      <c r="A329" s="64" t="n">
        <v>46175</v>
      </c>
      <c r="B329" s="65" t="inlineStr">
        <is>
          <t>INV-0163</t>
        </is>
      </c>
      <c r="C329" s="65" t="inlineStr">
        <is>
          <t>Gupta Electricals</t>
        </is>
      </c>
      <c r="D329" s="65" t="inlineStr">
        <is>
          <t>Detergent 5kg</t>
        </is>
      </c>
      <c r="E329" s="66" t="n">
        <v>3</v>
      </c>
      <c r="H329" s="65" t="inlineStr">
        <is>
          <t>UPI</t>
        </is>
      </c>
      <c r="I329" s="65" t="inlineStr">
        <is>
          <t>Delivered</t>
        </is>
      </c>
    </row>
    <row r="330">
      <c r="A330" s="64" t="n">
        <v>46175</v>
      </c>
      <c r="B330" s="65" t="inlineStr">
        <is>
          <t>INV-0163</t>
        </is>
      </c>
      <c r="C330" s="65" t="inlineStr">
        <is>
          <t>Gupta Electricals</t>
        </is>
      </c>
      <c r="D330" s="65" t="inlineStr">
        <is>
          <t>Sugar 50kg</t>
        </is>
      </c>
      <c r="E330" s="66" t="n">
        <v>1</v>
      </c>
      <c r="G330" s="68" t="n">
        <v>0.02</v>
      </c>
      <c r="H330" s="65" t="inlineStr">
        <is>
          <t>UPI</t>
        </is>
      </c>
      <c r="I330" s="65" t="inlineStr">
        <is>
          <t>Delivered</t>
        </is>
      </c>
    </row>
    <row r="331">
      <c r="A331" s="64" t="n">
        <v>46175</v>
      </c>
      <c r="B331" s="65" t="inlineStr">
        <is>
          <t>INV-0164</t>
        </is>
      </c>
      <c r="C331" s="65" t="inlineStr">
        <is>
          <t>Walk-in Customer</t>
        </is>
      </c>
      <c r="D331" s="65" t="inlineStr">
        <is>
          <t>Basmati Rice 25kg</t>
        </is>
      </c>
      <c r="E331" s="66" t="n">
        <v>1</v>
      </c>
      <c r="H331" s="65" t="inlineStr">
        <is>
          <t>Cash</t>
        </is>
      </c>
      <c r="I331" s="65" t="inlineStr">
        <is>
          <t>Delivered</t>
        </is>
      </c>
    </row>
    <row r="332">
      <c r="A332" s="64" t="n">
        <v>46175</v>
      </c>
      <c r="B332" s="65" t="inlineStr">
        <is>
          <t>INV-0164</t>
        </is>
      </c>
      <c r="C332" s="65" t="inlineStr">
        <is>
          <t>Walk-in Customer</t>
        </is>
      </c>
      <c r="D332" s="65" t="inlineStr">
        <is>
          <t>Cement 50kg</t>
        </is>
      </c>
      <c r="E332" s="66" t="n">
        <v>11</v>
      </c>
      <c r="H332" s="65" t="inlineStr">
        <is>
          <t>Cash</t>
        </is>
      </c>
      <c r="I332" s="65" t="inlineStr">
        <is>
          <t>Delivered</t>
        </is>
      </c>
    </row>
    <row r="333">
      <c r="A333" s="64" t="n">
        <v>46175</v>
      </c>
      <c r="B333" s="65" t="inlineStr">
        <is>
          <t>INV-0164</t>
        </is>
      </c>
      <c r="C333" s="65" t="inlineStr">
        <is>
          <t>Walk-in Customer</t>
        </is>
      </c>
      <c r="D333" s="65" t="inlineStr">
        <is>
          <t>LED Bulb 9W</t>
        </is>
      </c>
      <c r="E333" s="66" t="n">
        <v>20</v>
      </c>
      <c r="G333" s="68" t="n">
        <v>0.02</v>
      </c>
      <c r="H333" s="65" t="inlineStr">
        <is>
          <t>Cash</t>
        </is>
      </c>
      <c r="I333" s="65" t="inlineStr">
        <is>
          <t>Delivered</t>
        </is>
      </c>
    </row>
    <row r="334">
      <c r="A334" s="64" t="n">
        <v>46175</v>
      </c>
      <c r="B334" s="65" t="inlineStr">
        <is>
          <t>INV-0165</t>
        </is>
      </c>
      <c r="C334" s="65" t="inlineStr">
        <is>
          <t>Walk-in Customer</t>
        </is>
      </c>
      <c r="D334" s="65" t="inlineStr">
        <is>
          <t>Basmati Rice 25kg</t>
        </is>
      </c>
      <c r="E334" s="66" t="n">
        <v>1</v>
      </c>
      <c r="H334" s="65" t="inlineStr">
        <is>
          <t>Cash</t>
        </is>
      </c>
      <c r="I334" s="65" t="inlineStr">
        <is>
          <t>Delivered</t>
        </is>
      </c>
    </row>
    <row r="335">
      <c r="A335" s="64" t="n">
        <v>46176</v>
      </c>
      <c r="B335" s="65" t="inlineStr">
        <is>
          <t>INV-0166</t>
        </is>
      </c>
      <c r="C335" s="65" t="inlineStr">
        <is>
          <t>Walk-in Customer</t>
        </is>
      </c>
      <c r="D335" s="65" t="inlineStr">
        <is>
          <t>Sugar 50kg</t>
        </is>
      </c>
      <c r="E335" s="66" t="n">
        <v>1</v>
      </c>
      <c r="H335" s="65" t="inlineStr">
        <is>
          <t>Cash</t>
        </is>
      </c>
      <c r="I335" s="65" t="inlineStr">
        <is>
          <t>Delivered</t>
        </is>
      </c>
    </row>
    <row r="336">
      <c r="A336" s="64" t="n">
        <v>46176</v>
      </c>
      <c r="B336" s="65" t="inlineStr">
        <is>
          <t>INV-0166</t>
        </is>
      </c>
      <c r="C336" s="65" t="inlineStr">
        <is>
          <t>Walk-in Customer</t>
        </is>
      </c>
      <c r="D336" s="65" t="inlineStr">
        <is>
          <t>Cement 50kg</t>
        </is>
      </c>
      <c r="E336" s="66" t="n">
        <v>9</v>
      </c>
      <c r="G336" s="68" t="n">
        <v>0.05</v>
      </c>
      <c r="H336" s="65" t="inlineStr">
        <is>
          <t>Cash</t>
        </is>
      </c>
      <c r="I336" s="65" t="inlineStr">
        <is>
          <t>Delivered</t>
        </is>
      </c>
    </row>
    <row r="337">
      <c r="A337" s="64" t="n">
        <v>46176</v>
      </c>
      <c r="B337" s="65" t="inlineStr">
        <is>
          <t>INV-0167</t>
        </is>
      </c>
      <c r="C337" s="65" t="inlineStr">
        <is>
          <t>Sharma Kirana Store</t>
        </is>
      </c>
      <c r="D337" s="65" t="inlineStr">
        <is>
          <t>LED Bulb 9W</t>
        </is>
      </c>
      <c r="E337" s="66" t="n">
        <v>9</v>
      </c>
      <c r="I337" s="65" t="inlineStr">
        <is>
          <t>Delivered</t>
        </is>
      </c>
    </row>
    <row r="338">
      <c r="A338" s="64" t="n">
        <v>46176</v>
      </c>
      <c r="B338" s="65" t="inlineStr">
        <is>
          <t>INV-0167</t>
        </is>
      </c>
      <c r="C338" s="65" t="inlineStr">
        <is>
          <t>Sharma Kirana Store</t>
        </is>
      </c>
      <c r="D338" s="65" t="inlineStr">
        <is>
          <t>Copper Wire 90m</t>
        </is>
      </c>
      <c r="E338" s="66" t="n">
        <v>1</v>
      </c>
      <c r="I338" s="65" t="inlineStr">
        <is>
          <t>Delivered</t>
        </is>
      </c>
    </row>
    <row r="339">
      <c r="A339" s="64" t="n">
        <v>46176</v>
      </c>
      <c r="B339" s="65" t="inlineStr">
        <is>
          <t>INV-0168</t>
        </is>
      </c>
      <c r="C339" s="65" t="inlineStr">
        <is>
          <t>FMCG Distributors</t>
        </is>
      </c>
      <c r="D339" s="65" t="inlineStr">
        <is>
          <t>Detergent 5kg</t>
        </is>
      </c>
      <c r="E339" s="66" t="n">
        <v>1</v>
      </c>
      <c r="I339" s="65" t="inlineStr">
        <is>
          <t>Delivered</t>
        </is>
      </c>
    </row>
    <row r="340">
      <c r="A340" s="64" t="n">
        <v>46176</v>
      </c>
      <c r="B340" s="65" t="inlineStr">
        <is>
          <t>INV-0168</t>
        </is>
      </c>
      <c r="C340" s="65" t="inlineStr">
        <is>
          <t>FMCG Distributors</t>
        </is>
      </c>
      <c r="D340" s="65" t="inlineStr">
        <is>
          <t>LED Bulb 9W</t>
        </is>
      </c>
      <c r="E340" s="66" t="n">
        <v>6</v>
      </c>
      <c r="G340" s="68" t="n">
        <v>0.02</v>
      </c>
      <c r="I340" s="65" t="inlineStr">
        <is>
          <t>Delivered</t>
        </is>
      </c>
    </row>
    <row r="341">
      <c r="A341" s="64" t="n">
        <v>46177</v>
      </c>
      <c r="B341" s="65" t="inlineStr">
        <is>
          <t>INV-0169</t>
        </is>
      </c>
      <c r="C341" s="65" t="inlineStr">
        <is>
          <t>Mehta Constructions</t>
        </is>
      </c>
      <c r="D341" s="65" t="inlineStr">
        <is>
          <t>Detergent 5kg</t>
        </is>
      </c>
      <c r="E341" s="66" t="n">
        <v>3</v>
      </c>
      <c r="G341" s="68" t="n">
        <v>0.05</v>
      </c>
      <c r="I341" s="65" t="inlineStr">
        <is>
          <t>Delivered</t>
        </is>
      </c>
    </row>
    <row r="342">
      <c r="A342" s="64" t="n">
        <v>46177</v>
      </c>
      <c r="B342" s="65" t="inlineStr">
        <is>
          <t>INV-0169</t>
        </is>
      </c>
      <c r="C342" s="65" t="inlineStr">
        <is>
          <t>Mehta Constructions</t>
        </is>
      </c>
      <c r="D342" s="65" t="inlineStr">
        <is>
          <t>LED Bulb 9W</t>
        </is>
      </c>
      <c r="E342" s="66" t="n">
        <v>24</v>
      </c>
      <c r="G342" s="68" t="n">
        <v>0.02</v>
      </c>
      <c r="I342" s="65" t="inlineStr">
        <is>
          <t>Delivered</t>
        </is>
      </c>
    </row>
    <row r="343">
      <c r="A343" s="64" t="n">
        <v>46177</v>
      </c>
      <c r="B343" s="65" t="inlineStr">
        <is>
          <t>INV-0170</t>
        </is>
      </c>
      <c r="C343" s="65" t="inlineStr">
        <is>
          <t>Walk-in Customer</t>
        </is>
      </c>
      <c r="D343" s="65" t="inlineStr">
        <is>
          <t>Refined Oil 15L</t>
        </is>
      </c>
      <c r="E343" s="66" t="n">
        <v>2</v>
      </c>
      <c r="H343" s="65" t="inlineStr">
        <is>
          <t>Cash</t>
        </is>
      </c>
      <c r="I343" s="65" t="inlineStr">
        <is>
          <t>Delivered</t>
        </is>
      </c>
    </row>
    <row r="344">
      <c r="A344" s="64" t="n">
        <v>46177</v>
      </c>
      <c r="B344" s="65" t="inlineStr">
        <is>
          <t>INV-0170</t>
        </is>
      </c>
      <c r="C344" s="65" t="inlineStr">
        <is>
          <t>Walk-in Customer</t>
        </is>
      </c>
      <c r="D344" s="65" t="inlineStr">
        <is>
          <t>Ceiling Fan 1200mm</t>
        </is>
      </c>
      <c r="E344" s="66" t="n">
        <v>1</v>
      </c>
      <c r="H344" s="65" t="inlineStr">
        <is>
          <t>Cash</t>
        </is>
      </c>
      <c r="I344" s="65" t="inlineStr">
        <is>
          <t>Delivered</t>
        </is>
      </c>
    </row>
    <row r="345">
      <c r="A345" s="64" t="n">
        <v>46177</v>
      </c>
      <c r="B345" s="65" t="inlineStr">
        <is>
          <t>INV-0171</t>
        </is>
      </c>
      <c r="C345" s="65" t="inlineStr">
        <is>
          <t>Walk-in Customer</t>
        </is>
      </c>
      <c r="D345" s="65" t="inlineStr">
        <is>
          <t>Refined Oil 15L</t>
        </is>
      </c>
      <c r="E345" s="66" t="n">
        <v>1</v>
      </c>
      <c r="G345" s="68" t="n">
        <v>0.02</v>
      </c>
      <c r="H345" s="65" t="inlineStr">
        <is>
          <t>Cash</t>
        </is>
      </c>
      <c r="I345" s="65" t="inlineStr">
        <is>
          <t>Delivered</t>
        </is>
      </c>
    </row>
    <row r="346">
      <c r="A346" s="64" t="n">
        <v>46177</v>
      </c>
      <c r="B346" s="65" t="inlineStr">
        <is>
          <t>INV-0171</t>
        </is>
      </c>
      <c r="C346" s="65" t="inlineStr">
        <is>
          <t>Walk-in Customer</t>
        </is>
      </c>
      <c r="D346" s="65" t="inlineStr">
        <is>
          <t>Toothpaste 150g x12</t>
        </is>
      </c>
      <c r="E346" s="66" t="n">
        <v>1</v>
      </c>
      <c r="H346" s="65" t="inlineStr">
        <is>
          <t>Cash</t>
        </is>
      </c>
      <c r="I346" s="65" t="inlineStr">
        <is>
          <t>Delivered</t>
        </is>
      </c>
    </row>
    <row r="347">
      <c r="A347" s="64" t="n">
        <v>46178</v>
      </c>
      <c r="B347" s="65" t="inlineStr">
        <is>
          <t>INV-0172</t>
        </is>
      </c>
      <c r="C347" s="65" t="inlineStr">
        <is>
          <t>Walk-in Customer</t>
        </is>
      </c>
      <c r="D347" s="65" t="inlineStr">
        <is>
          <t>Tea Premium 1kg</t>
        </is>
      </c>
      <c r="E347" s="66" t="n">
        <v>3</v>
      </c>
      <c r="H347" s="65" t="inlineStr">
        <is>
          <t>Cash</t>
        </is>
      </c>
      <c r="I347" s="65" t="inlineStr">
        <is>
          <t>Delivered</t>
        </is>
      </c>
    </row>
    <row r="348">
      <c r="A348" s="64" t="n">
        <v>46178</v>
      </c>
      <c r="B348" s="65" t="inlineStr">
        <is>
          <t>INV-0172</t>
        </is>
      </c>
      <c r="C348" s="65" t="inlineStr">
        <is>
          <t>Walk-in Customer</t>
        </is>
      </c>
      <c r="D348" s="65" t="inlineStr">
        <is>
          <t>Detergent 5kg</t>
        </is>
      </c>
      <c r="E348" s="66" t="n">
        <v>3</v>
      </c>
      <c r="H348" s="65" t="inlineStr">
        <is>
          <t>Cash</t>
        </is>
      </c>
      <c r="I348" s="65" t="inlineStr">
        <is>
          <t>Delivered</t>
        </is>
      </c>
    </row>
    <row r="349">
      <c r="A349" s="64" t="n">
        <v>46178</v>
      </c>
      <c r="B349" s="65" t="inlineStr">
        <is>
          <t>INV-0173</t>
        </is>
      </c>
      <c r="C349" s="65" t="inlineStr">
        <is>
          <t>Walk-in Customer</t>
        </is>
      </c>
      <c r="D349" s="65" t="inlineStr">
        <is>
          <t>Ceiling Fan 1200mm</t>
        </is>
      </c>
      <c r="E349" s="66" t="n">
        <v>1</v>
      </c>
      <c r="H349" s="65" t="inlineStr">
        <is>
          <t>Cash</t>
        </is>
      </c>
      <c r="I349" s="65" t="inlineStr">
        <is>
          <t>Delivered</t>
        </is>
      </c>
    </row>
    <row r="350">
      <c r="A350" s="64" t="n">
        <v>46178</v>
      </c>
      <c r="B350" s="65" t="inlineStr">
        <is>
          <t>INV-0174</t>
        </is>
      </c>
      <c r="C350" s="65" t="inlineStr">
        <is>
          <t>Walk-in Customer</t>
        </is>
      </c>
      <c r="D350" s="65" t="inlineStr">
        <is>
          <t>Toothpaste 150g x12</t>
        </is>
      </c>
      <c r="E350" s="66" t="n">
        <v>1</v>
      </c>
      <c r="G350" s="68" t="n">
        <v>0.05</v>
      </c>
      <c r="H350" s="65" t="inlineStr">
        <is>
          <t>Cash</t>
        </is>
      </c>
      <c r="I350" s="65" t="inlineStr">
        <is>
          <t>Delivered</t>
        </is>
      </c>
    </row>
    <row r="351">
      <c r="A351" s="64" t="n">
        <v>46178</v>
      </c>
      <c r="B351" s="65" t="inlineStr">
        <is>
          <t>INV-0174</t>
        </is>
      </c>
      <c r="C351" s="65" t="inlineStr">
        <is>
          <t>Walk-in Customer</t>
        </is>
      </c>
      <c r="D351" s="65" t="inlineStr">
        <is>
          <t>Copper Wire 90m</t>
        </is>
      </c>
      <c r="E351" s="66" t="n">
        <v>1</v>
      </c>
      <c r="H351" s="65" t="inlineStr">
        <is>
          <t>Cash</t>
        </is>
      </c>
      <c r="I351" s="65" t="inlineStr">
        <is>
          <t>Delivered</t>
        </is>
      </c>
    </row>
    <row r="352">
      <c r="A352" s="64" t="n">
        <v>46179</v>
      </c>
      <c r="B352" s="65" t="inlineStr">
        <is>
          <t>INV-0175</t>
        </is>
      </c>
      <c r="C352" s="65" t="inlineStr">
        <is>
          <t>Sharma Kirana Store</t>
        </is>
      </c>
      <c r="D352" s="65" t="inlineStr">
        <is>
          <t>Refined Oil 15L</t>
        </is>
      </c>
      <c r="E352" s="66" t="n">
        <v>2</v>
      </c>
      <c r="G352" s="68" t="n">
        <v>0.05</v>
      </c>
      <c r="I352" s="65" t="inlineStr">
        <is>
          <t>Delivered</t>
        </is>
      </c>
    </row>
    <row r="353">
      <c r="A353" s="64" t="n">
        <v>46179</v>
      </c>
      <c r="B353" s="65" t="inlineStr">
        <is>
          <t>INV-0175</t>
        </is>
      </c>
      <c r="C353" s="65" t="inlineStr">
        <is>
          <t>Sharma Kirana Store</t>
        </is>
      </c>
      <c r="D353" s="65" t="inlineStr">
        <is>
          <t>PVC Pipe 1in 6m</t>
        </is>
      </c>
      <c r="E353" s="66" t="n">
        <v>2</v>
      </c>
      <c r="I353" s="65" t="inlineStr">
        <is>
          <t>Delivered</t>
        </is>
      </c>
    </row>
    <row r="354">
      <c r="A354" s="64" t="n">
        <v>46179</v>
      </c>
      <c r="B354" s="65" t="inlineStr">
        <is>
          <t>INV-0177</t>
        </is>
      </c>
      <c r="C354" s="65" t="inlineStr">
        <is>
          <t>Gupta Electricals</t>
        </is>
      </c>
      <c r="D354" s="65" t="inlineStr">
        <is>
          <t>Tea Premium 1kg</t>
        </is>
      </c>
      <c r="E354" s="66" t="n">
        <v>4</v>
      </c>
      <c r="H354" s="65" t="inlineStr">
        <is>
          <t>Bank</t>
        </is>
      </c>
      <c r="I354" s="65" t="inlineStr">
        <is>
          <t>Delivered</t>
        </is>
      </c>
    </row>
    <row r="355">
      <c r="A355" s="64" t="n">
        <v>46179</v>
      </c>
      <c r="B355" s="65" t="inlineStr">
        <is>
          <t>INV-0177</t>
        </is>
      </c>
      <c r="C355" s="65" t="inlineStr">
        <is>
          <t>Gupta Electricals</t>
        </is>
      </c>
      <c r="D355" s="65" t="inlineStr">
        <is>
          <t>Refined Oil 15L</t>
        </is>
      </c>
      <c r="E355" s="66" t="n">
        <v>2</v>
      </c>
      <c r="H355" s="65" t="inlineStr">
        <is>
          <t>Bank</t>
        </is>
      </c>
      <c r="I355" s="65" t="inlineStr">
        <is>
          <t>Delivered</t>
        </is>
      </c>
    </row>
    <row r="356">
      <c r="A356" s="64" t="n">
        <v>46179</v>
      </c>
      <c r="B356" s="65" t="inlineStr">
        <is>
          <t>INV-0178</t>
        </is>
      </c>
      <c r="C356" s="65" t="inlineStr">
        <is>
          <t>Walk-in Customer</t>
        </is>
      </c>
      <c r="D356" s="65" t="inlineStr">
        <is>
          <t>Cement 50kg</t>
        </is>
      </c>
      <c r="E356" s="66" t="n">
        <v>12</v>
      </c>
      <c r="H356" s="65" t="inlineStr">
        <is>
          <t>Cash</t>
        </is>
      </c>
      <c r="I356" s="65" t="inlineStr">
        <is>
          <t>Delivered</t>
        </is>
      </c>
    </row>
    <row r="357">
      <c r="A357" s="64" t="n">
        <v>46179</v>
      </c>
      <c r="B357" s="65" t="inlineStr">
        <is>
          <t>INV-0178</t>
        </is>
      </c>
      <c r="C357" s="65" t="inlineStr">
        <is>
          <t>Walk-in Customer</t>
        </is>
      </c>
      <c r="D357" s="65" t="inlineStr">
        <is>
          <t>Ceiling Fan 1200mm</t>
        </is>
      </c>
      <c r="E357" s="66" t="n">
        <v>1</v>
      </c>
      <c r="G357" s="68" t="n">
        <v>0.05</v>
      </c>
      <c r="H357" s="65" t="inlineStr">
        <is>
          <t>Cash</t>
        </is>
      </c>
      <c r="I357" s="65" t="inlineStr">
        <is>
          <t>Delivered</t>
        </is>
      </c>
    </row>
    <row r="358">
      <c r="A358" s="64" t="n">
        <v>46181</v>
      </c>
      <c r="B358" s="65" t="inlineStr">
        <is>
          <t>INV-0179</t>
        </is>
      </c>
      <c r="C358" s="65" t="inlineStr">
        <is>
          <t>Walk-in Customer</t>
        </is>
      </c>
      <c r="D358" s="65" t="inlineStr">
        <is>
          <t>Ceiling Fan 1200mm</t>
        </is>
      </c>
      <c r="E358" s="66" t="n">
        <v>1</v>
      </c>
      <c r="G358" s="68" t="n">
        <v>0.02</v>
      </c>
      <c r="H358" s="65" t="inlineStr">
        <is>
          <t>Cash</t>
        </is>
      </c>
      <c r="I358" s="65" t="inlineStr">
        <is>
          <t>Delivered</t>
        </is>
      </c>
    </row>
    <row r="359">
      <c r="A359" s="64" t="n">
        <v>46181</v>
      </c>
      <c r="B359" s="65" t="inlineStr">
        <is>
          <t>INV-0179</t>
        </is>
      </c>
      <c r="C359" s="65" t="inlineStr">
        <is>
          <t>Walk-in Customer</t>
        </is>
      </c>
      <c r="D359" s="65" t="inlineStr">
        <is>
          <t>Tea Premium 1kg</t>
        </is>
      </c>
      <c r="E359" s="66" t="n">
        <v>3</v>
      </c>
      <c r="H359" s="65" t="inlineStr">
        <is>
          <t>Cash</t>
        </is>
      </c>
      <c r="I359" s="65" t="inlineStr">
        <is>
          <t>Delivered</t>
        </is>
      </c>
    </row>
    <row r="360">
      <c r="A360" s="64" t="n">
        <v>46181</v>
      </c>
      <c r="B360" s="65" t="inlineStr">
        <is>
          <t>INV-0179</t>
        </is>
      </c>
      <c r="C360" s="65" t="inlineStr">
        <is>
          <t>Walk-in Customer</t>
        </is>
      </c>
      <c r="D360" s="65" t="inlineStr">
        <is>
          <t>PVC Pipe 1in 6m</t>
        </is>
      </c>
      <c r="E360" s="66" t="n">
        <v>6</v>
      </c>
      <c r="H360" s="65" t="inlineStr">
        <is>
          <t>Cash</t>
        </is>
      </c>
      <c r="I360" s="65" t="inlineStr">
        <is>
          <t>Delivered</t>
        </is>
      </c>
    </row>
    <row r="361">
      <c r="A361" s="64" t="n">
        <v>46181</v>
      </c>
      <c r="B361" s="65" t="inlineStr">
        <is>
          <t>INV-0180</t>
        </is>
      </c>
      <c r="C361" s="65" t="inlineStr">
        <is>
          <t>Walk-in Customer</t>
        </is>
      </c>
      <c r="D361" s="65" t="inlineStr">
        <is>
          <t>Refined Oil 15L</t>
        </is>
      </c>
      <c r="E361" s="66" t="n">
        <v>1</v>
      </c>
      <c r="H361" s="65" t="inlineStr">
        <is>
          <t>Cash</t>
        </is>
      </c>
      <c r="I361" s="65" t="inlineStr">
        <is>
          <t>Delivered</t>
        </is>
      </c>
    </row>
    <row r="362">
      <c r="A362" s="64" t="n">
        <v>46181</v>
      </c>
      <c r="B362" s="65" t="inlineStr">
        <is>
          <t>INV-0180</t>
        </is>
      </c>
      <c r="C362" s="65" t="inlineStr">
        <is>
          <t>Walk-in Customer</t>
        </is>
      </c>
      <c r="D362" s="65" t="inlineStr">
        <is>
          <t>Copper Wire 90m</t>
        </is>
      </c>
      <c r="E362" s="66" t="n">
        <v>1</v>
      </c>
      <c r="H362" s="65" t="inlineStr">
        <is>
          <t>Cash</t>
        </is>
      </c>
      <c r="I362" s="65" t="inlineStr">
        <is>
          <t>Delivered</t>
        </is>
      </c>
    </row>
    <row r="363">
      <c r="A363" s="64" t="n">
        <v>46181</v>
      </c>
      <c r="B363" s="65" t="inlineStr">
        <is>
          <t>INV-0181</t>
        </is>
      </c>
      <c r="C363" s="65" t="inlineStr">
        <is>
          <t>Walk-in Customer</t>
        </is>
      </c>
      <c r="D363" s="65" t="inlineStr">
        <is>
          <t>Copper Wire 90m</t>
        </is>
      </c>
      <c r="E363" s="66" t="n">
        <v>1</v>
      </c>
      <c r="H363" s="65" t="inlineStr">
        <is>
          <t>Cash</t>
        </is>
      </c>
      <c r="I363" s="65" t="inlineStr">
        <is>
          <t>Delivered</t>
        </is>
      </c>
    </row>
    <row r="364">
      <c r="A364" s="64" t="n">
        <v>46181</v>
      </c>
      <c r="B364" s="65" t="inlineStr">
        <is>
          <t>INV-0181</t>
        </is>
      </c>
      <c r="C364" s="65" t="inlineStr">
        <is>
          <t>Walk-in Customer</t>
        </is>
      </c>
      <c r="D364" s="65" t="inlineStr">
        <is>
          <t>Refined Oil 15L</t>
        </is>
      </c>
      <c r="E364" s="66" t="n">
        <v>1</v>
      </c>
      <c r="H364" s="65" t="inlineStr">
        <is>
          <t>Cash</t>
        </is>
      </c>
      <c r="I364" s="65" t="inlineStr">
        <is>
          <t>Delivered</t>
        </is>
      </c>
    </row>
    <row r="365">
      <c r="A365" s="64" t="n">
        <v>46182</v>
      </c>
      <c r="B365" s="65" t="inlineStr">
        <is>
          <t>INV-0182</t>
        </is>
      </c>
      <c r="C365" s="65" t="inlineStr">
        <is>
          <t>Walk-in Customer</t>
        </is>
      </c>
      <c r="D365" s="65" t="inlineStr">
        <is>
          <t>Copper Wire 90m</t>
        </is>
      </c>
      <c r="E365" s="66" t="n">
        <v>1</v>
      </c>
      <c r="H365" s="65" t="inlineStr">
        <is>
          <t>Cash</t>
        </is>
      </c>
      <c r="I365" s="65" t="inlineStr">
        <is>
          <t>Delivered</t>
        </is>
      </c>
    </row>
    <row r="366">
      <c r="A366" s="64" t="n">
        <v>46182</v>
      </c>
      <c r="B366" s="65" t="inlineStr">
        <is>
          <t>INV-0182</t>
        </is>
      </c>
      <c r="C366" s="65" t="inlineStr">
        <is>
          <t>Walk-in Customer</t>
        </is>
      </c>
      <c r="D366" s="65" t="inlineStr">
        <is>
          <t>Toothpaste 150g x12</t>
        </is>
      </c>
      <c r="E366" s="66" t="n">
        <v>1</v>
      </c>
      <c r="H366" s="65" t="inlineStr">
        <is>
          <t>Cash</t>
        </is>
      </c>
      <c r="I366" s="65" t="inlineStr">
        <is>
          <t>Delivered</t>
        </is>
      </c>
    </row>
    <row r="367">
      <c r="A367" s="64" t="n">
        <v>46182</v>
      </c>
      <c r="B367" s="65" t="inlineStr">
        <is>
          <t>INV-0184</t>
        </is>
      </c>
      <c r="C367" s="65" t="inlineStr">
        <is>
          <t>FMCG Distributors</t>
        </is>
      </c>
      <c r="D367" s="65" t="inlineStr">
        <is>
          <t>Copper Wire 90m</t>
        </is>
      </c>
      <c r="E367" s="66" t="n">
        <v>1</v>
      </c>
      <c r="G367" s="68" t="n">
        <v>0.02</v>
      </c>
      <c r="I367" s="65" t="inlineStr">
        <is>
          <t>Delivered</t>
        </is>
      </c>
    </row>
    <row r="368">
      <c r="A368" s="64" t="n">
        <v>46182</v>
      </c>
      <c r="B368" s="65" t="inlineStr">
        <is>
          <t>INV-0184</t>
        </is>
      </c>
      <c r="C368" s="65" t="inlineStr">
        <is>
          <t>FMCG Distributors</t>
        </is>
      </c>
      <c r="D368" s="65" t="inlineStr">
        <is>
          <t>Refined Oil 15L</t>
        </is>
      </c>
      <c r="E368" s="66" t="n">
        <v>1</v>
      </c>
      <c r="I368" s="65" t="inlineStr">
        <is>
          <t>Delivered</t>
        </is>
      </c>
    </row>
    <row r="369">
      <c r="A369" s="64" t="n">
        <v>46182</v>
      </c>
      <c r="B369" s="65" t="inlineStr">
        <is>
          <t>INV-0184</t>
        </is>
      </c>
      <c r="C369" s="65" t="inlineStr">
        <is>
          <t>FMCG Distributors</t>
        </is>
      </c>
      <c r="D369" s="65" t="inlineStr">
        <is>
          <t>Basmati Rice 25kg</t>
        </is>
      </c>
      <c r="E369" s="66" t="n">
        <v>1</v>
      </c>
      <c r="I369" s="65" t="inlineStr">
        <is>
          <t>Delivered</t>
        </is>
      </c>
    </row>
    <row r="370">
      <c r="A370" s="64" t="n">
        <v>46182</v>
      </c>
      <c r="B370" s="65" t="inlineStr">
        <is>
          <t>INV-0185</t>
        </is>
      </c>
      <c r="C370" s="65" t="inlineStr">
        <is>
          <t>FMCG Distributors</t>
        </is>
      </c>
      <c r="D370" s="65" t="inlineStr">
        <is>
          <t>Detergent 5kg</t>
        </is>
      </c>
      <c r="E370" s="66" t="n">
        <v>1</v>
      </c>
      <c r="H370" s="65" t="inlineStr">
        <is>
          <t>UPI</t>
        </is>
      </c>
      <c r="I370" s="65" t="inlineStr">
        <is>
          <t>Delivered</t>
        </is>
      </c>
    </row>
    <row r="371">
      <c r="A371" s="64" t="n">
        <v>46182</v>
      </c>
      <c r="B371" s="65" t="inlineStr">
        <is>
          <t>INV-0185</t>
        </is>
      </c>
      <c r="C371" s="65" t="inlineStr">
        <is>
          <t>FMCG Distributors</t>
        </is>
      </c>
      <c r="D371" s="65" t="inlineStr">
        <is>
          <t>LED Bulb 9W</t>
        </is>
      </c>
      <c r="E371" s="66" t="n">
        <v>16</v>
      </c>
      <c r="H371" s="65" t="inlineStr">
        <is>
          <t>UPI</t>
        </is>
      </c>
      <c r="I371" s="65" t="inlineStr">
        <is>
          <t>Delivered</t>
        </is>
      </c>
    </row>
    <row r="372">
      <c r="A372" s="64" t="n">
        <v>46183</v>
      </c>
      <c r="B372" s="65" t="inlineStr">
        <is>
          <t>INV-0186</t>
        </is>
      </c>
      <c r="C372" s="65" t="inlineStr">
        <is>
          <t>FMCG Distributors</t>
        </is>
      </c>
      <c r="D372" s="65" t="inlineStr">
        <is>
          <t>Toothpaste 150g x12</t>
        </is>
      </c>
      <c r="E372" s="66" t="n">
        <v>2</v>
      </c>
      <c r="H372" s="65" t="inlineStr">
        <is>
          <t>UPI</t>
        </is>
      </c>
      <c r="I372" s="65" t="inlineStr">
        <is>
          <t>Delivered</t>
        </is>
      </c>
    </row>
    <row r="373">
      <c r="A373" s="64" t="n">
        <v>46183</v>
      </c>
      <c r="B373" s="65" t="inlineStr">
        <is>
          <t>INV-0186</t>
        </is>
      </c>
      <c r="C373" s="65" t="inlineStr">
        <is>
          <t>FMCG Distributors</t>
        </is>
      </c>
      <c r="D373" s="65" t="inlineStr">
        <is>
          <t>PVC Pipe 1in 6m</t>
        </is>
      </c>
      <c r="E373" s="66" t="n">
        <v>9</v>
      </c>
      <c r="G373" s="68" t="n">
        <v>0.02</v>
      </c>
      <c r="H373" s="65" t="inlineStr">
        <is>
          <t>UPI</t>
        </is>
      </c>
      <c r="I373" s="65" t="inlineStr">
        <is>
          <t>Delivered</t>
        </is>
      </c>
    </row>
    <row r="374">
      <c r="A374" s="64" t="n">
        <v>46183</v>
      </c>
      <c r="B374" s="65" t="inlineStr">
        <is>
          <t>INV-0186</t>
        </is>
      </c>
      <c r="C374" s="65" t="inlineStr">
        <is>
          <t>FMCG Distributors</t>
        </is>
      </c>
      <c r="D374" s="65" t="inlineStr">
        <is>
          <t>Detergent 5kg</t>
        </is>
      </c>
      <c r="E374" s="66" t="n">
        <v>3</v>
      </c>
      <c r="H374" s="65" t="inlineStr">
        <is>
          <t>UPI</t>
        </is>
      </c>
      <c r="I374" s="65" t="inlineStr">
        <is>
          <t>Delivered</t>
        </is>
      </c>
    </row>
    <row r="375">
      <c r="A375" s="64" t="n">
        <v>46183</v>
      </c>
      <c r="B375" s="65" t="inlineStr">
        <is>
          <t>INV-0187</t>
        </is>
      </c>
      <c r="C375" s="65" t="inlineStr">
        <is>
          <t>Walk-in Customer</t>
        </is>
      </c>
      <c r="D375" s="65" t="inlineStr">
        <is>
          <t>Ceiling Fan 1200mm</t>
        </is>
      </c>
      <c r="E375" s="66" t="n">
        <v>1</v>
      </c>
      <c r="H375" s="65" t="inlineStr">
        <is>
          <t>Cash</t>
        </is>
      </c>
      <c r="I375" s="65" t="inlineStr">
        <is>
          <t>Delivered</t>
        </is>
      </c>
    </row>
    <row r="376">
      <c r="A376" s="64" t="n">
        <v>46183</v>
      </c>
      <c r="B376" s="65" t="inlineStr">
        <is>
          <t>INV-0187</t>
        </is>
      </c>
      <c r="C376" s="65" t="inlineStr">
        <is>
          <t>Walk-in Customer</t>
        </is>
      </c>
      <c r="D376" s="65" t="inlineStr">
        <is>
          <t>Detergent 5kg</t>
        </is>
      </c>
      <c r="E376" s="66" t="n">
        <v>3</v>
      </c>
      <c r="H376" s="65" t="inlineStr">
        <is>
          <t>Cash</t>
        </is>
      </c>
      <c r="I376" s="65" t="inlineStr">
        <is>
          <t>Delivered</t>
        </is>
      </c>
    </row>
    <row r="377">
      <c r="A377" s="64" t="n">
        <v>46183</v>
      </c>
      <c r="B377" s="65" t="inlineStr">
        <is>
          <t>INV-0188</t>
        </is>
      </c>
      <c r="C377" s="65" t="inlineStr">
        <is>
          <t>Walk-in Customer</t>
        </is>
      </c>
      <c r="D377" s="65" t="inlineStr">
        <is>
          <t>PVC Pipe 1in 6m</t>
        </is>
      </c>
      <c r="E377" s="66" t="n">
        <v>5</v>
      </c>
      <c r="H377" s="65" t="inlineStr">
        <is>
          <t>Cash</t>
        </is>
      </c>
      <c r="I377" s="65" t="inlineStr">
        <is>
          <t>Delivered</t>
        </is>
      </c>
    </row>
    <row r="378">
      <c r="A378" s="64" t="n">
        <v>46183</v>
      </c>
      <c r="B378" s="65" t="inlineStr">
        <is>
          <t>INV-0188</t>
        </is>
      </c>
      <c r="C378" s="65" t="inlineStr">
        <is>
          <t>Walk-in Customer</t>
        </is>
      </c>
      <c r="D378" s="65" t="inlineStr">
        <is>
          <t>Cement 50kg</t>
        </is>
      </c>
      <c r="E378" s="66" t="n">
        <v>2</v>
      </c>
      <c r="H378" s="65" t="inlineStr">
        <is>
          <t>Cash</t>
        </is>
      </c>
      <c r="I378" s="65" t="inlineStr">
        <is>
          <t>Delivered</t>
        </is>
      </c>
    </row>
    <row r="379">
      <c r="A379" s="64" t="n">
        <v>46183</v>
      </c>
      <c r="B379" s="65" t="inlineStr">
        <is>
          <t>INV-0188</t>
        </is>
      </c>
      <c r="C379" s="65" t="inlineStr">
        <is>
          <t>Walk-in Customer</t>
        </is>
      </c>
      <c r="D379" s="65" t="inlineStr">
        <is>
          <t>Basmati Rice 25kg</t>
        </is>
      </c>
      <c r="E379" s="66" t="n">
        <v>2</v>
      </c>
      <c r="G379" s="68" t="n">
        <v>0.02</v>
      </c>
      <c r="H379" s="65" t="inlineStr">
        <is>
          <t>Cash</t>
        </is>
      </c>
      <c r="I379" s="65" t="inlineStr">
        <is>
          <t>Delivered</t>
        </is>
      </c>
    </row>
    <row r="380">
      <c r="A380" s="64" t="n">
        <v>46184</v>
      </c>
      <c r="B380" s="65" t="inlineStr">
        <is>
          <t>INV-0189</t>
        </is>
      </c>
      <c r="C380" s="65" t="inlineStr">
        <is>
          <t>FMCG Distributors</t>
        </is>
      </c>
      <c r="D380" s="65" t="inlineStr">
        <is>
          <t>PVC Pipe 1in 6m</t>
        </is>
      </c>
      <c r="E380" s="66" t="n">
        <v>8</v>
      </c>
      <c r="I380" s="65" t="inlineStr">
        <is>
          <t>Delivered</t>
        </is>
      </c>
    </row>
    <row r="381">
      <c r="A381" s="64" t="n">
        <v>46184</v>
      </c>
      <c r="B381" s="65" t="inlineStr">
        <is>
          <t>INV-0189</t>
        </is>
      </c>
      <c r="C381" s="65" t="inlineStr">
        <is>
          <t>FMCG Distributors</t>
        </is>
      </c>
      <c r="D381" s="65" t="inlineStr">
        <is>
          <t>Detergent 5kg</t>
        </is>
      </c>
      <c r="E381" s="66" t="n">
        <v>2</v>
      </c>
      <c r="I381" s="65" t="inlineStr">
        <is>
          <t>Delivered</t>
        </is>
      </c>
    </row>
    <row r="382">
      <c r="A382" s="64" t="n">
        <v>46184</v>
      </c>
      <c r="B382" s="65" t="inlineStr">
        <is>
          <t>INV-0190</t>
        </is>
      </c>
      <c r="C382" s="65" t="inlineStr">
        <is>
          <t>Sharma Kirana Store</t>
        </is>
      </c>
      <c r="D382" s="65" t="inlineStr">
        <is>
          <t>Copper Wire 90m</t>
        </is>
      </c>
      <c r="E382" s="66" t="n">
        <v>1</v>
      </c>
      <c r="H382" s="65" t="inlineStr">
        <is>
          <t>UPI</t>
        </is>
      </c>
      <c r="I382" s="65" t="inlineStr">
        <is>
          <t>Delivered</t>
        </is>
      </c>
    </row>
    <row r="383">
      <c r="A383" s="64" t="n">
        <v>46185</v>
      </c>
      <c r="B383" s="65" t="inlineStr">
        <is>
          <t>INV-0191</t>
        </is>
      </c>
      <c r="C383" s="65" t="inlineStr">
        <is>
          <t>Walk-in Customer</t>
        </is>
      </c>
      <c r="D383" s="65" t="inlineStr">
        <is>
          <t>Copper Wire 90m</t>
        </is>
      </c>
      <c r="E383" s="66" t="n">
        <v>1</v>
      </c>
      <c r="G383" s="68" t="n">
        <v>0.05</v>
      </c>
      <c r="H383" s="65" t="inlineStr">
        <is>
          <t>Cash</t>
        </is>
      </c>
      <c r="I383" s="65" t="inlineStr">
        <is>
          <t>Delivered</t>
        </is>
      </c>
    </row>
    <row r="384">
      <c r="A384" s="64" t="n">
        <v>46185</v>
      </c>
      <c r="B384" s="65" t="inlineStr">
        <is>
          <t>INV-0191</t>
        </is>
      </c>
      <c r="C384" s="65" t="inlineStr">
        <is>
          <t>Walk-in Customer</t>
        </is>
      </c>
      <c r="D384" s="65" t="inlineStr">
        <is>
          <t>Sugar 50kg</t>
        </is>
      </c>
      <c r="E384" s="66" t="n">
        <v>1</v>
      </c>
      <c r="H384" s="65" t="inlineStr">
        <is>
          <t>Cash</t>
        </is>
      </c>
      <c r="I384" s="65" t="inlineStr">
        <is>
          <t>Delivered</t>
        </is>
      </c>
    </row>
    <row r="385">
      <c r="A385" s="64" t="n">
        <v>46185</v>
      </c>
      <c r="B385" s="65" t="inlineStr">
        <is>
          <t>INV-0191</t>
        </is>
      </c>
      <c r="C385" s="65" t="inlineStr">
        <is>
          <t>Walk-in Customer</t>
        </is>
      </c>
      <c r="D385" s="65" t="inlineStr">
        <is>
          <t>Basmati Rice 25kg</t>
        </is>
      </c>
      <c r="E385" s="66" t="n">
        <v>1</v>
      </c>
      <c r="G385" s="68" t="n">
        <v>0.02</v>
      </c>
      <c r="H385" s="65" t="inlineStr">
        <is>
          <t>Cash</t>
        </is>
      </c>
      <c r="I385" s="65" t="inlineStr">
        <is>
          <t>Delivered</t>
        </is>
      </c>
    </row>
    <row r="386">
      <c r="A386" s="64" t="n">
        <v>46185</v>
      </c>
      <c r="B386" s="65" t="inlineStr">
        <is>
          <t>INV-0192</t>
        </is>
      </c>
      <c r="C386" s="65" t="inlineStr">
        <is>
          <t>Gupta Electricals</t>
        </is>
      </c>
      <c r="D386" s="65" t="inlineStr">
        <is>
          <t>Tea Premium 1kg</t>
        </is>
      </c>
      <c r="E386" s="66" t="n">
        <v>2</v>
      </c>
      <c r="I386" s="65" t="inlineStr">
        <is>
          <t>Delivered</t>
        </is>
      </c>
    </row>
    <row r="387">
      <c r="A387" s="64" t="n">
        <v>46185</v>
      </c>
      <c r="B387" s="65" t="inlineStr">
        <is>
          <t>INV-0192</t>
        </is>
      </c>
      <c r="C387" s="65" t="inlineStr">
        <is>
          <t>Gupta Electricals</t>
        </is>
      </c>
      <c r="D387" s="65" t="inlineStr">
        <is>
          <t>Refined Oil 15L</t>
        </is>
      </c>
      <c r="E387" s="66" t="n">
        <v>1</v>
      </c>
      <c r="I387" s="65" t="inlineStr">
        <is>
          <t>Delivered</t>
        </is>
      </c>
    </row>
    <row r="388">
      <c r="A388" s="64" t="n">
        <v>46185</v>
      </c>
      <c r="B388" s="65" t="inlineStr">
        <is>
          <t>INV-0192</t>
        </is>
      </c>
      <c r="C388" s="65" t="inlineStr">
        <is>
          <t>Gupta Electricals</t>
        </is>
      </c>
      <c r="D388" s="65" t="inlineStr">
        <is>
          <t>Basmati Rice 25kg</t>
        </is>
      </c>
      <c r="E388" s="66" t="n">
        <v>2</v>
      </c>
      <c r="I388" s="65" t="inlineStr">
        <is>
          <t>Delivered</t>
        </is>
      </c>
    </row>
    <row r="389">
      <c r="A389" s="64" t="n">
        <v>46186</v>
      </c>
      <c r="B389" s="65" t="inlineStr">
        <is>
          <t>INV-0193</t>
        </is>
      </c>
      <c r="C389" s="65" t="inlineStr">
        <is>
          <t>Gupta Electricals</t>
        </is>
      </c>
      <c r="D389" s="65" t="inlineStr">
        <is>
          <t>Basmati Rice 25kg</t>
        </is>
      </c>
      <c r="E389" s="66" t="n">
        <v>1</v>
      </c>
      <c r="I389" s="65" t="inlineStr">
        <is>
          <t>Delivered</t>
        </is>
      </c>
    </row>
    <row r="390">
      <c r="A390" s="64" t="n">
        <v>46186</v>
      </c>
      <c r="B390" s="65" t="inlineStr">
        <is>
          <t>INV-0193</t>
        </is>
      </c>
      <c r="C390" s="65" t="inlineStr">
        <is>
          <t>Gupta Electricals</t>
        </is>
      </c>
      <c r="D390" s="65" t="inlineStr">
        <is>
          <t>Detergent 5kg</t>
        </is>
      </c>
      <c r="E390" s="66" t="n">
        <v>3</v>
      </c>
      <c r="I390" s="65" t="inlineStr">
        <is>
          <t>Delivered</t>
        </is>
      </c>
    </row>
    <row r="391">
      <c r="A391" s="64" t="n">
        <v>46186</v>
      </c>
      <c r="B391" s="65" t="inlineStr">
        <is>
          <t>INV-0193</t>
        </is>
      </c>
      <c r="C391" s="65" t="inlineStr">
        <is>
          <t>Gupta Electricals</t>
        </is>
      </c>
      <c r="D391" s="65" t="inlineStr">
        <is>
          <t>Cement 50kg</t>
        </is>
      </c>
      <c r="E391" s="66" t="n">
        <v>10</v>
      </c>
      <c r="I391" s="65" t="inlineStr">
        <is>
          <t>Delivered</t>
        </is>
      </c>
    </row>
    <row r="392">
      <c r="A392" s="64" t="n">
        <v>46186</v>
      </c>
      <c r="B392" s="65" t="inlineStr">
        <is>
          <t>INV-0194</t>
        </is>
      </c>
      <c r="C392" s="65" t="inlineStr">
        <is>
          <t>Gupta Electricals</t>
        </is>
      </c>
      <c r="D392" s="65" t="inlineStr">
        <is>
          <t>Copper Wire 90m</t>
        </is>
      </c>
      <c r="E392" s="66" t="n">
        <v>1</v>
      </c>
      <c r="I392" s="65" t="inlineStr">
        <is>
          <t>Delivered</t>
        </is>
      </c>
    </row>
    <row r="393">
      <c r="A393" s="64" t="n">
        <v>46186</v>
      </c>
      <c r="B393" s="65" t="inlineStr">
        <is>
          <t>INV-0194</t>
        </is>
      </c>
      <c r="C393" s="65" t="inlineStr">
        <is>
          <t>Gupta Electricals</t>
        </is>
      </c>
      <c r="D393" s="65" t="inlineStr">
        <is>
          <t>Detergent 5kg</t>
        </is>
      </c>
      <c r="E393" s="66" t="n">
        <v>1</v>
      </c>
      <c r="I393" s="65" t="inlineStr">
        <is>
          <t>Delivered</t>
        </is>
      </c>
    </row>
    <row r="394">
      <c r="A394" s="64" t="n">
        <v>46186</v>
      </c>
      <c r="B394" s="65" t="inlineStr">
        <is>
          <t>INV-0195</t>
        </is>
      </c>
      <c r="C394" s="65" t="inlineStr">
        <is>
          <t>Gupta Electricals</t>
        </is>
      </c>
      <c r="D394" s="65" t="inlineStr">
        <is>
          <t>Detergent 5kg</t>
        </is>
      </c>
      <c r="E394" s="66" t="n">
        <v>1</v>
      </c>
      <c r="G394" s="68" t="n">
        <v>0.02</v>
      </c>
      <c r="H394" s="65" t="inlineStr">
        <is>
          <t>UPI</t>
        </is>
      </c>
      <c r="I394" s="65" t="inlineStr">
        <is>
          <t>Delivered</t>
        </is>
      </c>
    </row>
    <row r="395">
      <c r="A395" s="64" t="n">
        <v>46186</v>
      </c>
      <c r="B395" s="65" t="inlineStr">
        <is>
          <t>INV-0195</t>
        </is>
      </c>
      <c r="C395" s="65" t="inlineStr">
        <is>
          <t>Gupta Electricals</t>
        </is>
      </c>
      <c r="D395" s="65" t="inlineStr">
        <is>
          <t>Cement 50kg</t>
        </is>
      </c>
      <c r="E395" s="66" t="n">
        <v>8</v>
      </c>
      <c r="H395" s="65" t="inlineStr">
        <is>
          <t>UPI</t>
        </is>
      </c>
      <c r="I395" s="65" t="inlineStr">
        <is>
          <t>Delivered</t>
        </is>
      </c>
    </row>
    <row r="396">
      <c r="A396" s="64" t="n">
        <v>46188</v>
      </c>
      <c r="B396" s="65" t="inlineStr">
        <is>
          <t>INV-0196</t>
        </is>
      </c>
      <c r="C396" s="65" t="inlineStr">
        <is>
          <t>Walk-in Customer</t>
        </is>
      </c>
      <c r="D396" s="65" t="inlineStr">
        <is>
          <t>Refined Oil 15L</t>
        </is>
      </c>
      <c r="E396" s="66" t="n">
        <v>1</v>
      </c>
      <c r="H396" s="65" t="inlineStr">
        <is>
          <t>Cash</t>
        </is>
      </c>
      <c r="I396" s="65" t="inlineStr">
        <is>
          <t>Delivered</t>
        </is>
      </c>
    </row>
    <row r="397">
      <c r="A397" s="64" t="n">
        <v>46188</v>
      </c>
      <c r="B397" s="65" t="inlineStr">
        <is>
          <t>INV-0196</t>
        </is>
      </c>
      <c r="C397" s="65" t="inlineStr">
        <is>
          <t>Walk-in Customer</t>
        </is>
      </c>
      <c r="D397" s="65" t="inlineStr">
        <is>
          <t>Ceiling Fan 1200mm</t>
        </is>
      </c>
      <c r="E397" s="66" t="n">
        <v>1</v>
      </c>
      <c r="G397" s="68" t="n">
        <v>0.02</v>
      </c>
      <c r="H397" s="65" t="inlineStr">
        <is>
          <t>Cash</t>
        </is>
      </c>
      <c r="I397" s="65" t="inlineStr">
        <is>
          <t>Delivered</t>
        </is>
      </c>
    </row>
    <row r="398">
      <c r="A398" s="64" t="n">
        <v>46188</v>
      </c>
      <c r="B398" s="65" t="inlineStr">
        <is>
          <t>INV-0197</t>
        </is>
      </c>
      <c r="C398" s="65" t="inlineStr">
        <is>
          <t>Walk-in Customer</t>
        </is>
      </c>
      <c r="D398" s="65" t="inlineStr">
        <is>
          <t>Copper Wire 90m</t>
        </is>
      </c>
      <c r="E398" s="66" t="n">
        <v>1</v>
      </c>
      <c r="H398" s="65" t="inlineStr">
        <is>
          <t>Cash</t>
        </is>
      </c>
      <c r="I398" s="65" t="inlineStr">
        <is>
          <t>Delivered</t>
        </is>
      </c>
    </row>
    <row r="399">
      <c r="A399" s="64" t="n">
        <v>46188</v>
      </c>
      <c r="B399" s="65" t="inlineStr">
        <is>
          <t>INV-0197</t>
        </is>
      </c>
      <c r="C399" s="65" t="inlineStr">
        <is>
          <t>Walk-in Customer</t>
        </is>
      </c>
      <c r="D399" s="65" t="inlineStr">
        <is>
          <t>Detergent 5kg</t>
        </is>
      </c>
      <c r="E399" s="66" t="n">
        <v>1</v>
      </c>
      <c r="G399" s="68" t="n">
        <v>0.05</v>
      </c>
      <c r="H399" s="65" t="inlineStr">
        <is>
          <t>Cash</t>
        </is>
      </c>
      <c r="I399" s="65" t="inlineStr">
        <is>
          <t>Delivered</t>
        </is>
      </c>
    </row>
    <row r="400">
      <c r="A400" s="64" t="n">
        <v>46188</v>
      </c>
      <c r="B400" s="65" t="inlineStr">
        <is>
          <t>INV-0197</t>
        </is>
      </c>
      <c r="C400" s="65" t="inlineStr">
        <is>
          <t>Walk-in Customer</t>
        </is>
      </c>
      <c r="D400" s="65" t="inlineStr">
        <is>
          <t>Cement 50kg</t>
        </is>
      </c>
      <c r="E400" s="66" t="n">
        <v>5</v>
      </c>
      <c r="G400" s="68" t="n">
        <v>0.05</v>
      </c>
      <c r="H400" s="65" t="inlineStr">
        <is>
          <t>Cash</t>
        </is>
      </c>
      <c r="I400" s="65" t="inlineStr">
        <is>
          <t>Delivered</t>
        </is>
      </c>
    </row>
    <row r="401">
      <c r="A401" s="64" t="n">
        <v>46188</v>
      </c>
      <c r="B401" s="65" t="inlineStr">
        <is>
          <t>INV-0198</t>
        </is>
      </c>
      <c r="C401" s="65" t="inlineStr">
        <is>
          <t>Sharma Kirana Store</t>
        </is>
      </c>
      <c r="D401" s="65" t="inlineStr">
        <is>
          <t>Cement 50kg</t>
        </is>
      </c>
      <c r="E401" s="66" t="n">
        <v>12</v>
      </c>
      <c r="I401" s="65" t="inlineStr">
        <is>
          <t>Delivered</t>
        </is>
      </c>
    </row>
    <row r="402">
      <c r="A402" s="64" t="n">
        <v>46188</v>
      </c>
      <c r="B402" s="65" t="inlineStr">
        <is>
          <t>INV-0198</t>
        </is>
      </c>
      <c r="C402" s="65" t="inlineStr">
        <is>
          <t>Sharma Kirana Store</t>
        </is>
      </c>
      <c r="D402" s="65" t="inlineStr">
        <is>
          <t>LED Bulb 9W</t>
        </is>
      </c>
      <c r="E402" s="66" t="n">
        <v>12</v>
      </c>
      <c r="G402" s="68" t="n">
        <v>0.02</v>
      </c>
      <c r="I402" s="65" t="inlineStr">
        <is>
          <t>Delivered</t>
        </is>
      </c>
    </row>
    <row r="403">
      <c r="A403" s="64" t="n">
        <v>46189</v>
      </c>
      <c r="B403" s="65" t="inlineStr">
        <is>
          <t>INV-0199</t>
        </is>
      </c>
      <c r="C403" s="65" t="inlineStr">
        <is>
          <t>Walk-in Customer</t>
        </is>
      </c>
      <c r="D403" s="65" t="inlineStr">
        <is>
          <t>Ceiling Fan 1200mm</t>
        </is>
      </c>
      <c r="E403" s="66" t="n">
        <v>1</v>
      </c>
      <c r="H403" s="65" t="inlineStr">
        <is>
          <t>Cash</t>
        </is>
      </c>
      <c r="I403" s="65" t="inlineStr">
        <is>
          <t>Delivered</t>
        </is>
      </c>
    </row>
    <row r="404">
      <c r="A404" s="64" t="n">
        <v>46189</v>
      </c>
      <c r="B404" s="65" t="inlineStr">
        <is>
          <t>INV-0199</t>
        </is>
      </c>
      <c r="C404" s="65" t="inlineStr">
        <is>
          <t>Walk-in Customer</t>
        </is>
      </c>
      <c r="D404" s="65" t="inlineStr">
        <is>
          <t>Basmati Rice 25kg</t>
        </is>
      </c>
      <c r="E404" s="66" t="n">
        <v>1</v>
      </c>
      <c r="G404" s="68" t="n">
        <v>0.05</v>
      </c>
      <c r="H404" s="65" t="inlineStr">
        <is>
          <t>Cash</t>
        </is>
      </c>
      <c r="I404" s="65" t="inlineStr">
        <is>
          <t>Delivered</t>
        </is>
      </c>
    </row>
    <row r="405">
      <c r="A405" s="64" t="n">
        <v>46189</v>
      </c>
      <c r="B405" s="65" t="inlineStr">
        <is>
          <t>INV-0200</t>
        </is>
      </c>
      <c r="C405" s="65" t="inlineStr">
        <is>
          <t>Sharma Kirana Store</t>
        </is>
      </c>
      <c r="D405" s="65" t="inlineStr">
        <is>
          <t>Cement 50kg</t>
        </is>
      </c>
      <c r="E405" s="66" t="n">
        <v>5</v>
      </c>
      <c r="G405" s="68" t="n">
        <v>0.05</v>
      </c>
      <c r="I405" s="65" t="inlineStr">
        <is>
          <t>Delivered</t>
        </is>
      </c>
    </row>
    <row r="406">
      <c r="A406" s="64" t="n">
        <v>46189</v>
      </c>
      <c r="B406" s="65" t="inlineStr">
        <is>
          <t>INV-0200</t>
        </is>
      </c>
      <c r="C406" s="65" t="inlineStr">
        <is>
          <t>Sharma Kirana Store</t>
        </is>
      </c>
      <c r="D406" s="65" t="inlineStr">
        <is>
          <t>Refined Oil 15L</t>
        </is>
      </c>
      <c r="E406" s="66" t="n">
        <v>1</v>
      </c>
      <c r="G406" s="68" t="n">
        <v>0.02</v>
      </c>
      <c r="I406" s="65" t="inlineStr">
        <is>
          <t>Delivered</t>
        </is>
      </c>
    </row>
    <row r="407">
      <c r="A407" s="64" t="n">
        <v>46189</v>
      </c>
      <c r="B407" s="65" t="inlineStr">
        <is>
          <t>INV-0201</t>
        </is>
      </c>
      <c r="C407" s="65" t="inlineStr">
        <is>
          <t>FMCG Distributors</t>
        </is>
      </c>
      <c r="D407" s="65" t="inlineStr">
        <is>
          <t>PVC Pipe 1in 6m</t>
        </is>
      </c>
      <c r="E407" s="66" t="n">
        <v>6</v>
      </c>
      <c r="G407" s="68" t="n">
        <v>0.02</v>
      </c>
      <c r="H407" s="65" t="inlineStr">
        <is>
          <t>Bank</t>
        </is>
      </c>
      <c r="I407" s="65" t="inlineStr">
        <is>
          <t>Delivered</t>
        </is>
      </c>
    </row>
    <row r="408">
      <c r="A408" s="64" t="n">
        <v>46190</v>
      </c>
      <c r="B408" s="65" t="inlineStr">
        <is>
          <t>INV-0202</t>
        </is>
      </c>
      <c r="C408" s="65" t="inlineStr">
        <is>
          <t>Walk-in Customer</t>
        </is>
      </c>
      <c r="D408" s="65" t="inlineStr">
        <is>
          <t>Cement 50kg</t>
        </is>
      </c>
      <c r="E408" s="66" t="n">
        <v>9</v>
      </c>
      <c r="G408" s="68" t="n">
        <v>0.02</v>
      </c>
      <c r="H408" s="65" t="inlineStr">
        <is>
          <t>Cash</t>
        </is>
      </c>
      <c r="I408" s="65" t="inlineStr">
        <is>
          <t>Delivered</t>
        </is>
      </c>
    </row>
    <row r="409">
      <c r="A409" s="64" t="n">
        <v>46190</v>
      </c>
      <c r="B409" s="65" t="inlineStr">
        <is>
          <t>INV-0202</t>
        </is>
      </c>
      <c r="C409" s="65" t="inlineStr">
        <is>
          <t>Walk-in Customer</t>
        </is>
      </c>
      <c r="D409" s="65" t="inlineStr">
        <is>
          <t>Basmati Rice 25kg</t>
        </is>
      </c>
      <c r="E409" s="66" t="n">
        <v>1</v>
      </c>
      <c r="H409" s="65" t="inlineStr">
        <is>
          <t>Cash</t>
        </is>
      </c>
      <c r="I409" s="65" t="inlineStr">
        <is>
          <t>Delivered</t>
        </is>
      </c>
    </row>
    <row r="410">
      <c r="A410" s="64" t="n">
        <v>46190</v>
      </c>
      <c r="B410" s="65" t="inlineStr">
        <is>
          <t>INV-0203</t>
        </is>
      </c>
      <c r="C410" s="65" t="inlineStr">
        <is>
          <t>Sharma Kirana Store</t>
        </is>
      </c>
      <c r="D410" s="65" t="inlineStr">
        <is>
          <t>PVC Pipe 1in 6m</t>
        </is>
      </c>
      <c r="E410" s="66" t="n">
        <v>8</v>
      </c>
      <c r="H410" s="65" t="inlineStr">
        <is>
          <t>UPI</t>
        </is>
      </c>
      <c r="I410" s="65" t="inlineStr">
        <is>
          <t>Delivered</t>
        </is>
      </c>
    </row>
    <row r="411">
      <c r="A411" s="64" t="n">
        <v>46190</v>
      </c>
      <c r="B411" s="65" t="inlineStr">
        <is>
          <t>INV-0203</t>
        </is>
      </c>
      <c r="C411" s="65" t="inlineStr">
        <is>
          <t>Sharma Kirana Store</t>
        </is>
      </c>
      <c r="D411" s="65" t="inlineStr">
        <is>
          <t>Sugar 50kg</t>
        </is>
      </c>
      <c r="E411" s="66" t="n">
        <v>1</v>
      </c>
      <c r="G411" s="68" t="n">
        <v>0.05</v>
      </c>
      <c r="H411" s="65" t="inlineStr">
        <is>
          <t>UPI</t>
        </is>
      </c>
      <c r="I411" s="65" t="inlineStr">
        <is>
          <t>Delivered</t>
        </is>
      </c>
    </row>
    <row r="412">
      <c r="A412" s="64" t="n">
        <v>46190</v>
      </c>
      <c r="B412" s="65" t="inlineStr">
        <is>
          <t>INV-0203</t>
        </is>
      </c>
      <c r="C412" s="65" t="inlineStr">
        <is>
          <t>Sharma Kirana Store</t>
        </is>
      </c>
      <c r="D412" s="65" t="inlineStr">
        <is>
          <t>Ceiling Fan 1200mm</t>
        </is>
      </c>
      <c r="E412" s="66" t="n">
        <v>1</v>
      </c>
      <c r="H412" s="65" t="inlineStr">
        <is>
          <t>UPI</t>
        </is>
      </c>
      <c r="I412" s="65" t="inlineStr">
        <is>
          <t>Delivered</t>
        </is>
      </c>
    </row>
    <row r="413">
      <c r="A413" s="64" t="n">
        <v>46190</v>
      </c>
      <c r="B413" s="65" t="inlineStr">
        <is>
          <t>INV-0204</t>
        </is>
      </c>
      <c r="C413" s="65" t="inlineStr">
        <is>
          <t>FMCG Distributors</t>
        </is>
      </c>
      <c r="D413" s="65" t="inlineStr">
        <is>
          <t>Tea Premium 1kg</t>
        </is>
      </c>
      <c r="E413" s="66" t="n">
        <v>1</v>
      </c>
      <c r="H413" s="65" t="inlineStr">
        <is>
          <t>UPI</t>
        </is>
      </c>
      <c r="I413" s="65" t="inlineStr">
        <is>
          <t>Delivered</t>
        </is>
      </c>
    </row>
    <row r="414">
      <c r="A414" s="64" t="n">
        <v>46190</v>
      </c>
      <c r="B414" s="65" t="inlineStr">
        <is>
          <t>INV-0204</t>
        </is>
      </c>
      <c r="C414" s="65" t="inlineStr">
        <is>
          <t>FMCG Distributors</t>
        </is>
      </c>
      <c r="D414" s="65" t="inlineStr">
        <is>
          <t>Ceiling Fan 1200mm</t>
        </is>
      </c>
      <c r="E414" s="66" t="n">
        <v>1</v>
      </c>
      <c r="H414" s="65" t="inlineStr">
        <is>
          <t>UPI</t>
        </is>
      </c>
      <c r="I414" s="65" t="inlineStr">
        <is>
          <t>Delivered</t>
        </is>
      </c>
    </row>
    <row r="415">
      <c r="A415" s="64" t="n">
        <v>46191</v>
      </c>
      <c r="B415" s="65" t="inlineStr">
        <is>
          <t>INV-0205</t>
        </is>
      </c>
      <c r="C415" s="65" t="inlineStr">
        <is>
          <t>FMCG Distributors</t>
        </is>
      </c>
      <c r="D415" s="65" t="inlineStr">
        <is>
          <t>Tea Premium 1kg</t>
        </is>
      </c>
      <c r="E415" s="66" t="n">
        <v>4</v>
      </c>
      <c r="G415" s="68" t="n">
        <v>0.02</v>
      </c>
      <c r="H415" s="65" t="inlineStr">
        <is>
          <t>UPI</t>
        </is>
      </c>
      <c r="I415" s="65" t="inlineStr">
        <is>
          <t>Delivered</t>
        </is>
      </c>
    </row>
    <row r="416">
      <c r="A416" s="64" t="n">
        <v>46191</v>
      </c>
      <c r="B416" s="65" t="inlineStr">
        <is>
          <t>INV-0205</t>
        </is>
      </c>
      <c r="C416" s="65" t="inlineStr">
        <is>
          <t>FMCG Distributors</t>
        </is>
      </c>
      <c r="D416" s="65" t="inlineStr">
        <is>
          <t>Basmati Rice 25kg</t>
        </is>
      </c>
      <c r="E416" s="66" t="n">
        <v>1</v>
      </c>
      <c r="H416" s="65" t="inlineStr">
        <is>
          <t>UPI</t>
        </is>
      </c>
      <c r="I416" s="65" t="inlineStr">
        <is>
          <t>Delivered</t>
        </is>
      </c>
    </row>
    <row r="417">
      <c r="A417" s="64" t="n">
        <v>46191</v>
      </c>
      <c r="B417" s="65" t="inlineStr">
        <is>
          <t>INV-0206</t>
        </is>
      </c>
      <c r="C417" s="65" t="inlineStr">
        <is>
          <t>FMCG Distributors</t>
        </is>
      </c>
      <c r="D417" s="65" t="inlineStr">
        <is>
          <t>Refined Oil 15L</t>
        </is>
      </c>
      <c r="E417" s="66" t="n">
        <v>1</v>
      </c>
      <c r="H417" s="65" t="inlineStr">
        <is>
          <t>UPI</t>
        </is>
      </c>
      <c r="I417" s="65" t="inlineStr">
        <is>
          <t>Delivered</t>
        </is>
      </c>
    </row>
    <row r="418">
      <c r="A418" s="64" t="n">
        <v>46191</v>
      </c>
      <c r="B418" s="65" t="inlineStr">
        <is>
          <t>INV-0207</t>
        </is>
      </c>
      <c r="C418" s="65" t="inlineStr">
        <is>
          <t>FMCG Distributors</t>
        </is>
      </c>
      <c r="D418" s="65" t="inlineStr">
        <is>
          <t>Sugar 50kg</t>
        </is>
      </c>
      <c r="E418" s="66" t="n">
        <v>1</v>
      </c>
      <c r="G418" s="68" t="n">
        <v>0.05</v>
      </c>
      <c r="I418" s="65" t="inlineStr">
        <is>
          <t>Delivered</t>
        </is>
      </c>
    </row>
    <row r="419">
      <c r="A419" s="64" t="n">
        <v>46192</v>
      </c>
      <c r="B419" s="65" t="inlineStr">
        <is>
          <t>INV-0208</t>
        </is>
      </c>
      <c r="C419" s="65" t="inlineStr">
        <is>
          <t>Walk-in Customer</t>
        </is>
      </c>
      <c r="D419" s="65" t="inlineStr">
        <is>
          <t>Detergent 5kg</t>
        </is>
      </c>
      <c r="E419" s="66" t="n">
        <v>1</v>
      </c>
      <c r="G419" s="68" t="n">
        <v>0.02</v>
      </c>
      <c r="H419" s="65" t="inlineStr">
        <is>
          <t>Cash</t>
        </is>
      </c>
      <c r="I419" s="65" t="inlineStr">
        <is>
          <t>Delivered</t>
        </is>
      </c>
    </row>
    <row r="420">
      <c r="A420" s="64" t="n">
        <v>46192</v>
      </c>
      <c r="B420" s="65" t="inlineStr">
        <is>
          <t>INV-0208</t>
        </is>
      </c>
      <c r="C420" s="65" t="inlineStr">
        <is>
          <t>Walk-in Customer</t>
        </is>
      </c>
      <c r="D420" s="65" t="inlineStr">
        <is>
          <t>LED Bulb 9W</t>
        </is>
      </c>
      <c r="E420" s="66" t="n">
        <v>20</v>
      </c>
      <c r="G420" s="68" t="n">
        <v>0.05</v>
      </c>
      <c r="H420" s="65" t="inlineStr">
        <is>
          <t>Cash</t>
        </is>
      </c>
      <c r="I420" s="65" t="inlineStr">
        <is>
          <t>Delivered</t>
        </is>
      </c>
    </row>
    <row r="421">
      <c r="A421" s="64" t="n">
        <v>46192</v>
      </c>
      <c r="B421" s="65" t="inlineStr">
        <is>
          <t>INV-0209</t>
        </is>
      </c>
      <c r="C421" s="65" t="inlineStr">
        <is>
          <t>Delhi Hardware Mart</t>
        </is>
      </c>
      <c r="D421" s="65" t="inlineStr">
        <is>
          <t>Toothpaste 150g x12</t>
        </is>
      </c>
      <c r="E421" s="66" t="n">
        <v>1</v>
      </c>
      <c r="I421" s="65" t="inlineStr">
        <is>
          <t>Delivered</t>
        </is>
      </c>
    </row>
    <row r="422">
      <c r="A422" s="64" t="n">
        <v>46192</v>
      </c>
      <c r="B422" s="65" t="inlineStr">
        <is>
          <t>INV-0210</t>
        </is>
      </c>
      <c r="C422" s="65" t="inlineStr">
        <is>
          <t>Walk-in Customer</t>
        </is>
      </c>
      <c r="D422" s="65" t="inlineStr">
        <is>
          <t>Basmati Rice 25kg</t>
        </is>
      </c>
      <c r="E422" s="66" t="n">
        <v>1</v>
      </c>
      <c r="G422" s="68" t="n">
        <v>0.05</v>
      </c>
      <c r="H422" s="65" t="inlineStr">
        <is>
          <t>Cash</t>
        </is>
      </c>
      <c r="I422" s="65" t="inlineStr">
        <is>
          <t>Delivered</t>
        </is>
      </c>
    </row>
    <row r="423">
      <c r="A423" s="64" t="n">
        <v>46192</v>
      </c>
      <c r="B423" s="65" t="inlineStr">
        <is>
          <t>INV-0211</t>
        </is>
      </c>
      <c r="C423" s="65" t="inlineStr">
        <is>
          <t>FMCG Distributors</t>
        </is>
      </c>
      <c r="D423" s="65" t="inlineStr">
        <is>
          <t>Sugar 50kg</t>
        </is>
      </c>
      <c r="E423" s="66" t="n">
        <v>1</v>
      </c>
      <c r="H423" s="65" t="inlineStr">
        <is>
          <t>UPI</t>
        </is>
      </c>
      <c r="I423" s="65" t="inlineStr">
        <is>
          <t>Delivered</t>
        </is>
      </c>
    </row>
    <row r="424">
      <c r="A424" s="64" t="n">
        <v>46192</v>
      </c>
      <c r="B424" s="65" t="inlineStr">
        <is>
          <t>INV-0211</t>
        </is>
      </c>
      <c r="C424" s="65" t="inlineStr">
        <is>
          <t>FMCG Distributors</t>
        </is>
      </c>
      <c r="D424" s="65" t="inlineStr">
        <is>
          <t>Cement 50kg</t>
        </is>
      </c>
      <c r="E424" s="66" t="n">
        <v>5</v>
      </c>
      <c r="G424" s="68" t="n">
        <v>0.05</v>
      </c>
      <c r="H424" s="65" t="inlineStr">
        <is>
          <t>UPI</t>
        </is>
      </c>
      <c r="I424" s="65" t="inlineStr">
        <is>
          <t>Delivered</t>
        </is>
      </c>
    </row>
    <row r="425">
      <c r="A425" s="64" t="n">
        <v>46192</v>
      </c>
      <c r="B425" s="65" t="inlineStr">
        <is>
          <t>INV-0211</t>
        </is>
      </c>
      <c r="C425" s="65" t="inlineStr">
        <is>
          <t>FMCG Distributors</t>
        </is>
      </c>
      <c r="D425" s="65" t="inlineStr">
        <is>
          <t>LED Bulb 9W</t>
        </is>
      </c>
      <c r="E425" s="66" t="n">
        <v>9</v>
      </c>
      <c r="H425" s="65" t="inlineStr">
        <is>
          <t>UPI</t>
        </is>
      </c>
      <c r="I425" s="65" t="inlineStr">
        <is>
          <t>Delivered</t>
        </is>
      </c>
    </row>
    <row r="426">
      <c r="A426" s="64" t="n">
        <v>46193</v>
      </c>
      <c r="B426" s="65" t="inlineStr">
        <is>
          <t>INV-0212</t>
        </is>
      </c>
      <c r="C426" s="65" t="inlineStr">
        <is>
          <t>Delhi Hardware Mart</t>
        </is>
      </c>
      <c r="D426" s="65" t="inlineStr">
        <is>
          <t>Toothpaste 150g x12</t>
        </is>
      </c>
      <c r="E426" s="66" t="n">
        <v>2</v>
      </c>
      <c r="H426" s="65" t="inlineStr">
        <is>
          <t>UPI</t>
        </is>
      </c>
      <c r="I426" s="65" t="inlineStr">
        <is>
          <t>Delivered</t>
        </is>
      </c>
    </row>
    <row r="427">
      <c r="A427" s="64" t="n">
        <v>46193</v>
      </c>
      <c r="B427" s="65" t="inlineStr">
        <is>
          <t>INV-0212</t>
        </is>
      </c>
      <c r="C427" s="65" t="inlineStr">
        <is>
          <t>Delhi Hardware Mart</t>
        </is>
      </c>
      <c r="D427" s="65" t="inlineStr">
        <is>
          <t>Tea Premium 1kg</t>
        </is>
      </c>
      <c r="E427" s="66" t="n">
        <v>1</v>
      </c>
      <c r="H427" s="65" t="inlineStr">
        <is>
          <t>UPI</t>
        </is>
      </c>
      <c r="I427" s="65" t="inlineStr">
        <is>
          <t>Delivered</t>
        </is>
      </c>
    </row>
    <row r="428">
      <c r="A428" s="64" t="n">
        <v>46193</v>
      </c>
      <c r="B428" s="65" t="inlineStr">
        <is>
          <t>INV-0213</t>
        </is>
      </c>
      <c r="C428" s="65" t="inlineStr">
        <is>
          <t>FMCG Distributors</t>
        </is>
      </c>
      <c r="D428" s="65" t="inlineStr">
        <is>
          <t>Basmati Rice 25kg</t>
        </is>
      </c>
      <c r="E428" s="66" t="n">
        <v>1</v>
      </c>
      <c r="G428" s="68" t="n">
        <v>0.05</v>
      </c>
      <c r="I428" s="65" t="inlineStr">
        <is>
          <t>Delivered</t>
        </is>
      </c>
    </row>
    <row r="429">
      <c r="A429" s="64" t="n">
        <v>46193</v>
      </c>
      <c r="B429" s="65" t="inlineStr">
        <is>
          <t>INV-0214</t>
        </is>
      </c>
      <c r="C429" s="65" t="inlineStr">
        <is>
          <t>Walk-in Customer</t>
        </is>
      </c>
      <c r="D429" s="65" t="inlineStr">
        <is>
          <t>Sugar 50kg</t>
        </is>
      </c>
      <c r="E429" s="66" t="n">
        <v>1</v>
      </c>
      <c r="H429" s="65" t="inlineStr">
        <is>
          <t>Cash</t>
        </is>
      </c>
      <c r="I429" s="65" t="inlineStr">
        <is>
          <t>Delivered</t>
        </is>
      </c>
    </row>
    <row r="430">
      <c r="A430" s="64" t="n">
        <v>46193</v>
      </c>
      <c r="B430" s="65" t="inlineStr">
        <is>
          <t>INV-0215</t>
        </is>
      </c>
      <c r="C430" s="65" t="inlineStr">
        <is>
          <t>Walk-in Customer</t>
        </is>
      </c>
      <c r="D430" s="65" t="inlineStr">
        <is>
          <t>Cement 50kg</t>
        </is>
      </c>
      <c r="E430" s="66" t="n">
        <v>6</v>
      </c>
      <c r="H430" s="65" t="inlineStr">
        <is>
          <t>Cash</t>
        </is>
      </c>
      <c r="I430" s="65" t="inlineStr">
        <is>
          <t>Delivered</t>
        </is>
      </c>
    </row>
    <row r="431">
      <c r="A431" s="64" t="n">
        <v>46193</v>
      </c>
      <c r="B431" s="65" t="inlineStr">
        <is>
          <t>INV-0215</t>
        </is>
      </c>
      <c r="C431" s="65" t="inlineStr">
        <is>
          <t>Walk-in Customer</t>
        </is>
      </c>
      <c r="D431" s="65" t="inlineStr">
        <is>
          <t>Ceiling Fan 1200mm</t>
        </is>
      </c>
      <c r="E431" s="66" t="n">
        <v>1</v>
      </c>
      <c r="H431" s="65" t="inlineStr">
        <is>
          <t>Cash</t>
        </is>
      </c>
      <c r="I431" s="65" t="inlineStr">
        <is>
          <t>Delivered</t>
        </is>
      </c>
    </row>
    <row r="432">
      <c r="A432" s="64" t="n">
        <v>46195</v>
      </c>
      <c r="B432" s="65" t="inlineStr">
        <is>
          <t>INV-0216</t>
        </is>
      </c>
      <c r="C432" s="65" t="inlineStr">
        <is>
          <t>Walk-in Customer</t>
        </is>
      </c>
      <c r="D432" s="65" t="inlineStr">
        <is>
          <t>Toothpaste 150g x12</t>
        </is>
      </c>
      <c r="E432" s="66" t="n">
        <v>1</v>
      </c>
      <c r="H432" s="65" t="inlineStr">
        <is>
          <t>Cash</t>
        </is>
      </c>
      <c r="I432" s="65" t="inlineStr">
        <is>
          <t>Delivered</t>
        </is>
      </c>
    </row>
    <row r="433">
      <c r="A433" s="64" t="n">
        <v>46195</v>
      </c>
      <c r="B433" s="65" t="inlineStr">
        <is>
          <t>INV-0217</t>
        </is>
      </c>
      <c r="C433" s="65" t="inlineStr">
        <is>
          <t>Walk-in Customer</t>
        </is>
      </c>
      <c r="D433" s="65" t="inlineStr">
        <is>
          <t>Refined Oil 15L</t>
        </is>
      </c>
      <c r="E433" s="66" t="n">
        <v>2</v>
      </c>
      <c r="G433" s="68" t="n">
        <v>0.02</v>
      </c>
      <c r="H433" s="65" t="inlineStr">
        <is>
          <t>Cash</t>
        </is>
      </c>
      <c r="I433" s="65" t="inlineStr">
        <is>
          <t>Delivered</t>
        </is>
      </c>
    </row>
    <row r="434">
      <c r="A434" s="64" t="n">
        <v>46195</v>
      </c>
      <c r="B434" s="65" t="inlineStr">
        <is>
          <t>INV-0218</t>
        </is>
      </c>
      <c r="C434" s="65" t="inlineStr">
        <is>
          <t>Walk-in Customer</t>
        </is>
      </c>
      <c r="D434" s="65" t="inlineStr">
        <is>
          <t>Refined Oil 15L</t>
        </is>
      </c>
      <c r="E434" s="66" t="n">
        <v>2</v>
      </c>
      <c r="H434" s="65" t="inlineStr">
        <is>
          <t>Cash</t>
        </is>
      </c>
      <c r="I434" s="65" t="inlineStr">
        <is>
          <t>Delivered</t>
        </is>
      </c>
    </row>
    <row r="435">
      <c r="A435" s="64" t="n">
        <v>46196</v>
      </c>
      <c r="B435" s="65" t="inlineStr">
        <is>
          <t>INV-0219</t>
        </is>
      </c>
      <c r="C435" s="65" t="inlineStr">
        <is>
          <t>FMCG Distributors</t>
        </is>
      </c>
      <c r="D435" s="65" t="inlineStr">
        <is>
          <t>Sugar 50kg</t>
        </is>
      </c>
      <c r="E435" s="66" t="n">
        <v>1</v>
      </c>
      <c r="G435" s="68" t="n">
        <v>0.02</v>
      </c>
      <c r="I435" s="65" t="inlineStr">
        <is>
          <t>Delivered</t>
        </is>
      </c>
    </row>
    <row r="436">
      <c r="A436" s="64" t="n">
        <v>46196</v>
      </c>
      <c r="B436" s="65" t="inlineStr">
        <is>
          <t>INV-0219</t>
        </is>
      </c>
      <c r="C436" s="65" t="inlineStr">
        <is>
          <t>FMCG Distributors</t>
        </is>
      </c>
      <c r="D436" s="65" t="inlineStr">
        <is>
          <t>LED Bulb 9W</t>
        </is>
      </c>
      <c r="E436" s="66" t="n">
        <v>24</v>
      </c>
      <c r="I436" s="65" t="inlineStr">
        <is>
          <t>Delivered</t>
        </is>
      </c>
    </row>
    <row r="437">
      <c r="A437" s="64" t="n">
        <v>46196</v>
      </c>
      <c r="B437" s="65" t="inlineStr">
        <is>
          <t>INV-0219</t>
        </is>
      </c>
      <c r="C437" s="65" t="inlineStr">
        <is>
          <t>FMCG Distributors</t>
        </is>
      </c>
      <c r="D437" s="65" t="inlineStr">
        <is>
          <t>Basmati Rice 25kg</t>
        </is>
      </c>
      <c r="E437" s="66" t="n">
        <v>2</v>
      </c>
      <c r="G437" s="68" t="n">
        <v>0.02</v>
      </c>
      <c r="I437" s="65" t="inlineStr">
        <is>
          <t>Delivered</t>
        </is>
      </c>
    </row>
    <row r="438">
      <c r="A438" s="64" t="n">
        <v>46196</v>
      </c>
      <c r="B438" s="65" t="inlineStr">
        <is>
          <t>INV-0220</t>
        </is>
      </c>
      <c r="C438" s="65" t="inlineStr">
        <is>
          <t>Gupta Electricals</t>
        </is>
      </c>
      <c r="D438" s="65" t="inlineStr">
        <is>
          <t>Toothpaste 150g x12</t>
        </is>
      </c>
      <c r="E438" s="66" t="n">
        <v>1</v>
      </c>
      <c r="I438" s="65" t="inlineStr">
        <is>
          <t>Delivered</t>
        </is>
      </c>
    </row>
    <row r="439">
      <c r="A439" s="64" t="n">
        <v>46196</v>
      </c>
      <c r="B439" s="65" t="inlineStr">
        <is>
          <t>INV-0220</t>
        </is>
      </c>
      <c r="C439" s="65" t="inlineStr">
        <is>
          <t>Gupta Electricals</t>
        </is>
      </c>
      <c r="D439" s="65" t="inlineStr">
        <is>
          <t>Tea Premium 1kg</t>
        </is>
      </c>
      <c r="E439" s="66" t="n">
        <v>3</v>
      </c>
      <c r="G439" s="68" t="n">
        <v>0.05</v>
      </c>
      <c r="I439" s="65" t="inlineStr">
        <is>
          <t>Delivered</t>
        </is>
      </c>
    </row>
    <row r="440">
      <c r="A440" s="64" t="n">
        <v>46197</v>
      </c>
      <c r="B440" s="65" t="inlineStr">
        <is>
          <t>INV-0221</t>
        </is>
      </c>
      <c r="C440" s="65" t="inlineStr">
        <is>
          <t>Walk-in Customer</t>
        </is>
      </c>
      <c r="D440" s="65" t="inlineStr">
        <is>
          <t>Detergent 5kg</t>
        </is>
      </c>
      <c r="E440" s="66" t="n">
        <v>1</v>
      </c>
      <c r="H440" s="65" t="inlineStr">
        <is>
          <t>Cash</t>
        </is>
      </c>
      <c r="I440" s="65" t="inlineStr">
        <is>
          <t>Delivered</t>
        </is>
      </c>
    </row>
    <row r="441">
      <c r="A441" s="64" t="n">
        <v>46197</v>
      </c>
      <c r="B441" s="65" t="inlineStr">
        <is>
          <t>INV-0221</t>
        </is>
      </c>
      <c r="C441" s="65" t="inlineStr">
        <is>
          <t>Walk-in Customer</t>
        </is>
      </c>
      <c r="D441" s="65" t="inlineStr">
        <is>
          <t>LED Bulb 9W</t>
        </is>
      </c>
      <c r="E441" s="66" t="n">
        <v>5</v>
      </c>
      <c r="G441" s="68" t="n">
        <v>0.05</v>
      </c>
      <c r="H441" s="65" t="inlineStr">
        <is>
          <t>Cash</t>
        </is>
      </c>
      <c r="I441" s="65" t="inlineStr">
        <is>
          <t>Delivered</t>
        </is>
      </c>
    </row>
    <row r="442">
      <c r="A442" s="64" t="n">
        <v>46197</v>
      </c>
      <c r="B442" s="65" t="inlineStr">
        <is>
          <t>INV-0222</t>
        </is>
      </c>
      <c r="C442" s="65" t="inlineStr">
        <is>
          <t>Mehta Constructions</t>
        </is>
      </c>
      <c r="D442" s="65" t="inlineStr">
        <is>
          <t>Detergent 5kg</t>
        </is>
      </c>
      <c r="E442" s="66" t="n">
        <v>1</v>
      </c>
      <c r="G442" s="68" t="n">
        <v>0.02</v>
      </c>
      <c r="I442" s="65" t="inlineStr">
        <is>
          <t>Delivered</t>
        </is>
      </c>
    </row>
    <row r="443">
      <c r="A443" s="64" t="n">
        <v>46197</v>
      </c>
      <c r="B443" s="65" t="inlineStr">
        <is>
          <t>INV-0222</t>
        </is>
      </c>
      <c r="C443" s="65" t="inlineStr">
        <is>
          <t>Mehta Constructions</t>
        </is>
      </c>
      <c r="D443" s="65" t="inlineStr">
        <is>
          <t>Copper Wire 90m</t>
        </is>
      </c>
      <c r="E443" s="66" t="n">
        <v>1</v>
      </c>
      <c r="I443" s="65" t="inlineStr">
        <is>
          <t>Delivered</t>
        </is>
      </c>
    </row>
    <row r="444">
      <c r="A444" s="64" t="n">
        <v>46198</v>
      </c>
      <c r="B444" s="65" t="inlineStr">
        <is>
          <t>INV-0224</t>
        </is>
      </c>
      <c r="C444" s="65" t="inlineStr">
        <is>
          <t>Walk-in Customer</t>
        </is>
      </c>
      <c r="D444" s="65" t="inlineStr">
        <is>
          <t>Sugar 50kg</t>
        </is>
      </c>
      <c r="E444" s="66" t="n">
        <v>1</v>
      </c>
      <c r="H444" s="65" t="inlineStr">
        <is>
          <t>Cash</t>
        </is>
      </c>
      <c r="I444" s="65" t="inlineStr">
        <is>
          <t>Delivered</t>
        </is>
      </c>
    </row>
    <row r="445">
      <c r="A445" s="64" t="n">
        <v>46198</v>
      </c>
      <c r="B445" s="65" t="inlineStr">
        <is>
          <t>INV-0224</t>
        </is>
      </c>
      <c r="C445" s="65" t="inlineStr">
        <is>
          <t>Walk-in Customer</t>
        </is>
      </c>
      <c r="D445" s="65" t="inlineStr">
        <is>
          <t>Detergent 5kg</t>
        </is>
      </c>
      <c r="E445" s="66" t="n">
        <v>2</v>
      </c>
      <c r="H445" s="65" t="inlineStr">
        <is>
          <t>Cash</t>
        </is>
      </c>
      <c r="I445" s="65" t="inlineStr">
        <is>
          <t>Delivered</t>
        </is>
      </c>
    </row>
    <row r="446">
      <c r="A446" s="64" t="n">
        <v>46198</v>
      </c>
      <c r="B446" s="65" t="inlineStr">
        <is>
          <t>INV-0225</t>
        </is>
      </c>
      <c r="C446" s="65" t="inlineStr">
        <is>
          <t>Walk-in Customer</t>
        </is>
      </c>
      <c r="D446" s="65" t="inlineStr">
        <is>
          <t>Sugar 50kg</t>
        </is>
      </c>
      <c r="E446" s="66" t="n">
        <v>1</v>
      </c>
      <c r="H446" s="65" t="inlineStr">
        <is>
          <t>Cash</t>
        </is>
      </c>
      <c r="I446" s="65" t="inlineStr">
        <is>
          <t>Delivered</t>
        </is>
      </c>
    </row>
    <row r="447">
      <c r="A447" s="64" t="n">
        <v>46198</v>
      </c>
      <c r="B447" s="65" t="inlineStr">
        <is>
          <t>INV-0225</t>
        </is>
      </c>
      <c r="C447" s="65" t="inlineStr">
        <is>
          <t>Walk-in Customer</t>
        </is>
      </c>
      <c r="D447" s="65" t="inlineStr">
        <is>
          <t>LED Bulb 9W</t>
        </is>
      </c>
      <c r="E447" s="66" t="n">
        <v>6</v>
      </c>
      <c r="H447" s="65" t="inlineStr">
        <is>
          <t>Cash</t>
        </is>
      </c>
      <c r="I447" s="65" t="inlineStr">
        <is>
          <t>Delivered</t>
        </is>
      </c>
    </row>
    <row r="448">
      <c r="A448" s="64" t="n">
        <v>46198</v>
      </c>
      <c r="B448" s="65" t="inlineStr">
        <is>
          <t>INV-0226</t>
        </is>
      </c>
      <c r="C448" s="65" t="inlineStr">
        <is>
          <t>Delhi Hardware Mart</t>
        </is>
      </c>
      <c r="D448" s="65" t="inlineStr">
        <is>
          <t>PVC Pipe 1in 6m</t>
        </is>
      </c>
      <c r="E448" s="66" t="n">
        <v>3</v>
      </c>
      <c r="I448" s="65" t="inlineStr">
        <is>
          <t>Delivered</t>
        </is>
      </c>
    </row>
    <row r="449">
      <c r="A449" s="64" t="n">
        <v>46198</v>
      </c>
      <c r="B449" s="65" t="inlineStr">
        <is>
          <t>INV-0226</t>
        </is>
      </c>
      <c r="C449" s="65" t="inlineStr">
        <is>
          <t>Delhi Hardware Mart</t>
        </is>
      </c>
      <c r="D449" s="65" t="inlineStr">
        <is>
          <t>Toothpaste 150g x12</t>
        </is>
      </c>
      <c r="E449" s="66" t="n">
        <v>2</v>
      </c>
      <c r="G449" s="68" t="n">
        <v>0.05</v>
      </c>
      <c r="I449" s="65" t="inlineStr">
        <is>
          <t>Delivered</t>
        </is>
      </c>
    </row>
    <row r="450">
      <c r="A450" s="64" t="n">
        <v>46198</v>
      </c>
      <c r="B450" s="65" t="inlineStr">
        <is>
          <t>INV-0226</t>
        </is>
      </c>
      <c r="C450" s="65" t="inlineStr">
        <is>
          <t>Delhi Hardware Mart</t>
        </is>
      </c>
      <c r="D450" s="65" t="inlineStr">
        <is>
          <t>Ceiling Fan 1200mm</t>
        </is>
      </c>
      <c r="E450" s="66" t="n">
        <v>1</v>
      </c>
      <c r="I450" s="65" t="inlineStr">
        <is>
          <t>Delivered</t>
        </is>
      </c>
    </row>
    <row r="451">
      <c r="A451" s="64" t="n">
        <v>46199</v>
      </c>
      <c r="B451" s="65" t="inlineStr">
        <is>
          <t>INV-0227</t>
        </is>
      </c>
      <c r="C451" s="65" t="inlineStr">
        <is>
          <t>Delhi Hardware Mart</t>
        </is>
      </c>
      <c r="D451" s="65" t="inlineStr">
        <is>
          <t>Cement 50kg</t>
        </is>
      </c>
      <c r="E451" s="66" t="n">
        <v>9</v>
      </c>
      <c r="I451" s="65" t="inlineStr">
        <is>
          <t>Delivered</t>
        </is>
      </c>
    </row>
    <row r="452">
      <c r="A452" s="64" t="n">
        <v>46199</v>
      </c>
      <c r="B452" s="65" t="inlineStr">
        <is>
          <t>INV-0228</t>
        </is>
      </c>
      <c r="C452" s="65" t="inlineStr">
        <is>
          <t>Walk-in Customer</t>
        </is>
      </c>
      <c r="D452" s="65" t="inlineStr">
        <is>
          <t>Sugar 50kg</t>
        </is>
      </c>
      <c r="E452" s="66" t="n">
        <v>1</v>
      </c>
      <c r="G452" s="68" t="n">
        <v>0.05</v>
      </c>
      <c r="H452" s="65" t="inlineStr">
        <is>
          <t>Cash</t>
        </is>
      </c>
      <c r="I452" s="65" t="inlineStr">
        <is>
          <t>Delivered</t>
        </is>
      </c>
    </row>
    <row r="453">
      <c r="A453" s="64" t="n">
        <v>46199</v>
      </c>
      <c r="B453" s="65" t="inlineStr">
        <is>
          <t>INV-0229</t>
        </is>
      </c>
      <c r="C453" s="65" t="inlineStr">
        <is>
          <t>Walk-in Customer</t>
        </is>
      </c>
      <c r="D453" s="65" t="inlineStr">
        <is>
          <t>PVC Pipe 1in 6m</t>
        </is>
      </c>
      <c r="E453" s="66" t="n">
        <v>8</v>
      </c>
      <c r="H453" s="65" t="inlineStr">
        <is>
          <t>Cash</t>
        </is>
      </c>
      <c r="I453" s="65" t="inlineStr">
        <is>
          <t>Delivered</t>
        </is>
      </c>
    </row>
    <row r="454">
      <c r="A454" s="64" t="n">
        <v>46200</v>
      </c>
      <c r="B454" s="65" t="inlineStr">
        <is>
          <t>INV-0230</t>
        </is>
      </c>
      <c r="C454" s="65" t="inlineStr">
        <is>
          <t>Walk-in Customer</t>
        </is>
      </c>
      <c r="D454" s="65" t="inlineStr">
        <is>
          <t>Basmati Rice 25kg</t>
        </is>
      </c>
      <c r="E454" s="66" t="n">
        <v>1</v>
      </c>
      <c r="G454" s="68" t="n">
        <v>0.02</v>
      </c>
      <c r="H454" s="65" t="inlineStr">
        <is>
          <t>Cash</t>
        </is>
      </c>
      <c r="I454" s="65" t="inlineStr">
        <is>
          <t>Delivered</t>
        </is>
      </c>
    </row>
    <row r="455">
      <c r="A455" s="64" t="n">
        <v>46200</v>
      </c>
      <c r="B455" s="65" t="inlineStr">
        <is>
          <t>INV-0231</t>
        </is>
      </c>
      <c r="C455" s="65" t="inlineStr">
        <is>
          <t>Delhi Hardware Mart</t>
        </is>
      </c>
      <c r="D455" s="65" t="inlineStr">
        <is>
          <t>Refined Oil 15L</t>
        </is>
      </c>
      <c r="E455" s="66" t="n">
        <v>2</v>
      </c>
      <c r="I455" s="65" t="inlineStr">
        <is>
          <t>Delivered</t>
        </is>
      </c>
    </row>
    <row r="456">
      <c r="A456" s="64" t="n">
        <v>46200</v>
      </c>
      <c r="B456" s="65" t="inlineStr">
        <is>
          <t>INV-0231</t>
        </is>
      </c>
      <c r="C456" s="65" t="inlineStr">
        <is>
          <t>Delhi Hardware Mart</t>
        </is>
      </c>
      <c r="D456" s="65" t="inlineStr">
        <is>
          <t>Cement 50kg</t>
        </is>
      </c>
      <c r="E456" s="66" t="n">
        <v>2</v>
      </c>
      <c r="I456" s="65" t="inlineStr">
        <is>
          <t>Delivered</t>
        </is>
      </c>
    </row>
    <row r="457">
      <c r="A457" s="64" t="n">
        <v>46200</v>
      </c>
      <c r="B457" s="65" t="inlineStr">
        <is>
          <t>INV-0232</t>
        </is>
      </c>
      <c r="C457" s="65" t="inlineStr">
        <is>
          <t>Sharma Kirana Store</t>
        </is>
      </c>
      <c r="D457" s="65" t="inlineStr">
        <is>
          <t>PVC Pipe 1in 6m</t>
        </is>
      </c>
      <c r="E457" s="66" t="n">
        <v>4</v>
      </c>
      <c r="I457" s="65" t="inlineStr">
        <is>
          <t>Delivered</t>
        </is>
      </c>
    </row>
    <row r="458">
      <c r="A458" s="64" t="n">
        <v>46200</v>
      </c>
      <c r="B458" s="65" t="inlineStr">
        <is>
          <t>INV-0232</t>
        </is>
      </c>
      <c r="C458" s="65" t="inlineStr">
        <is>
          <t>Sharma Kirana Store</t>
        </is>
      </c>
      <c r="D458" s="65" t="inlineStr">
        <is>
          <t>Sugar 50kg</t>
        </is>
      </c>
      <c r="E458" s="66" t="n">
        <v>1</v>
      </c>
      <c r="I458" s="65" t="inlineStr">
        <is>
          <t>Delivered</t>
        </is>
      </c>
    </row>
    <row r="459">
      <c r="A459" s="64" t="n">
        <v>46202</v>
      </c>
      <c r="B459" s="65" t="inlineStr">
        <is>
          <t>INV-0233</t>
        </is>
      </c>
      <c r="C459" s="65" t="inlineStr">
        <is>
          <t>Sharma Kirana Store</t>
        </is>
      </c>
      <c r="D459" s="65" t="inlineStr">
        <is>
          <t>Ceiling Fan 1200mm</t>
        </is>
      </c>
      <c r="E459" s="66" t="n">
        <v>1</v>
      </c>
      <c r="G459" s="68" t="n">
        <v>0.05</v>
      </c>
      <c r="I459" s="65" t="inlineStr">
        <is>
          <t>Delivered</t>
        </is>
      </c>
    </row>
    <row r="460">
      <c r="A460" s="64" t="n">
        <v>46202</v>
      </c>
      <c r="B460" s="65" t="inlineStr">
        <is>
          <t>INV-0234</t>
        </is>
      </c>
      <c r="C460" s="65" t="inlineStr">
        <is>
          <t>Sharma Kirana Store</t>
        </is>
      </c>
      <c r="D460" s="65" t="inlineStr">
        <is>
          <t>Basmati Rice 25kg</t>
        </is>
      </c>
      <c r="E460" s="66" t="n">
        <v>2</v>
      </c>
      <c r="H460" s="65" t="inlineStr">
        <is>
          <t>Bank</t>
        </is>
      </c>
      <c r="I460" s="65" t="inlineStr">
        <is>
          <t>Delivered</t>
        </is>
      </c>
    </row>
    <row r="461">
      <c r="A461" s="64" t="n">
        <v>46202</v>
      </c>
      <c r="B461" s="65" t="inlineStr">
        <is>
          <t>INV-0234</t>
        </is>
      </c>
      <c r="C461" s="65" t="inlineStr">
        <is>
          <t>Sharma Kirana Store</t>
        </is>
      </c>
      <c r="D461" s="65" t="inlineStr">
        <is>
          <t>Tea Premium 1kg</t>
        </is>
      </c>
      <c r="E461" s="66" t="n">
        <v>3</v>
      </c>
      <c r="H461" s="65" t="inlineStr">
        <is>
          <t>Bank</t>
        </is>
      </c>
      <c r="I461" s="65" t="inlineStr">
        <is>
          <t>Delivered</t>
        </is>
      </c>
    </row>
    <row r="462">
      <c r="A462" s="64" t="n">
        <v>46202</v>
      </c>
      <c r="B462" s="65" t="inlineStr">
        <is>
          <t>INV-0235</t>
        </is>
      </c>
      <c r="C462" s="65" t="inlineStr">
        <is>
          <t>Gupta Electricals</t>
        </is>
      </c>
      <c r="D462" s="65" t="inlineStr">
        <is>
          <t>PVC Pipe 1in 6m</t>
        </is>
      </c>
      <c r="E462" s="66" t="n">
        <v>2</v>
      </c>
      <c r="I462" s="65" t="inlineStr">
        <is>
          <t>Delivered</t>
        </is>
      </c>
    </row>
    <row r="463">
      <c r="A463" s="64" t="n">
        <v>46202</v>
      </c>
      <c r="B463" s="65" t="inlineStr">
        <is>
          <t>INV-0235</t>
        </is>
      </c>
      <c r="C463" s="65" t="inlineStr">
        <is>
          <t>Gupta Electricals</t>
        </is>
      </c>
      <c r="D463" s="65" t="inlineStr">
        <is>
          <t>Basmati Rice 25kg</t>
        </is>
      </c>
      <c r="E463" s="66" t="n">
        <v>1</v>
      </c>
      <c r="G463" s="68" t="n">
        <v>0.05</v>
      </c>
      <c r="I463" s="65" t="inlineStr">
        <is>
          <t>Delivered</t>
        </is>
      </c>
    </row>
    <row r="464">
      <c r="A464" s="64" t="n">
        <v>46202</v>
      </c>
      <c r="B464" s="65" t="inlineStr">
        <is>
          <t>INV-0236</t>
        </is>
      </c>
      <c r="C464" s="65" t="inlineStr">
        <is>
          <t>Walk-in Customer</t>
        </is>
      </c>
      <c r="D464" s="65" t="inlineStr">
        <is>
          <t>Ceiling Fan 1200mm</t>
        </is>
      </c>
      <c r="E464" s="66" t="n">
        <v>1</v>
      </c>
      <c r="H464" s="65" t="inlineStr">
        <is>
          <t>Cash</t>
        </is>
      </c>
      <c r="I464" s="65" t="inlineStr">
        <is>
          <t>Delivered</t>
        </is>
      </c>
    </row>
    <row r="465">
      <c r="A465" s="64" t="n">
        <v>46202</v>
      </c>
      <c r="B465" s="65" t="inlineStr">
        <is>
          <t>INV-0236</t>
        </is>
      </c>
      <c r="C465" s="65" t="inlineStr">
        <is>
          <t>Walk-in Customer</t>
        </is>
      </c>
      <c r="D465" s="65" t="inlineStr">
        <is>
          <t>Copper Wire 90m</t>
        </is>
      </c>
      <c r="E465" s="66" t="n">
        <v>1</v>
      </c>
      <c r="H465" s="65" t="inlineStr">
        <is>
          <t>Cash</t>
        </is>
      </c>
      <c r="I465" s="65" t="inlineStr">
        <is>
          <t>Delivered</t>
        </is>
      </c>
    </row>
    <row r="466">
      <c r="A466" s="64" t="n">
        <v>46203</v>
      </c>
      <c r="B466" s="65" t="inlineStr">
        <is>
          <t>INV-0237</t>
        </is>
      </c>
      <c r="C466" s="65" t="inlineStr">
        <is>
          <t>Gupta Electricals</t>
        </is>
      </c>
      <c r="D466" s="65" t="inlineStr">
        <is>
          <t>Cement 50kg</t>
        </is>
      </c>
      <c r="E466" s="66" t="n">
        <v>3</v>
      </c>
      <c r="H466" s="65" t="inlineStr">
        <is>
          <t>UPI</t>
        </is>
      </c>
      <c r="I466" s="65" t="inlineStr">
        <is>
          <t>Delivered</t>
        </is>
      </c>
    </row>
    <row r="467">
      <c r="A467" s="64" t="n">
        <v>46203</v>
      </c>
      <c r="B467" s="65" t="inlineStr">
        <is>
          <t>INV-0237</t>
        </is>
      </c>
      <c r="C467" s="65" t="inlineStr">
        <is>
          <t>Gupta Electricals</t>
        </is>
      </c>
      <c r="D467" s="65" t="inlineStr">
        <is>
          <t>PVC Pipe 1in 6m</t>
        </is>
      </c>
      <c r="E467" s="66" t="n">
        <v>5</v>
      </c>
      <c r="H467" s="65" t="inlineStr">
        <is>
          <t>UPI</t>
        </is>
      </c>
      <c r="I467" s="65" t="inlineStr">
        <is>
          <t>Delivered</t>
        </is>
      </c>
    </row>
    <row r="468">
      <c r="A468" s="64" t="n">
        <v>46203</v>
      </c>
      <c r="B468" s="65" t="inlineStr">
        <is>
          <t>INV-0237</t>
        </is>
      </c>
      <c r="C468" s="65" t="inlineStr">
        <is>
          <t>Gupta Electricals</t>
        </is>
      </c>
      <c r="D468" s="65" t="inlineStr">
        <is>
          <t>Detergent 5kg</t>
        </is>
      </c>
      <c r="E468" s="66" t="n">
        <v>2</v>
      </c>
      <c r="H468" s="65" t="inlineStr">
        <is>
          <t>UPI</t>
        </is>
      </c>
      <c r="I468" s="65" t="inlineStr">
        <is>
          <t>Delivered</t>
        </is>
      </c>
    </row>
    <row r="469">
      <c r="A469" s="64" t="n">
        <v>46203</v>
      </c>
      <c r="B469" s="65" t="inlineStr">
        <is>
          <t>INV-0238</t>
        </is>
      </c>
      <c r="C469" s="65" t="inlineStr">
        <is>
          <t>Walk-in Customer</t>
        </is>
      </c>
      <c r="D469" s="65" t="inlineStr">
        <is>
          <t>Cement 50kg</t>
        </is>
      </c>
      <c r="E469" s="66" t="n">
        <v>6</v>
      </c>
      <c r="H469" s="65" t="inlineStr">
        <is>
          <t>Cash</t>
        </is>
      </c>
      <c r="I469" s="65" t="inlineStr">
        <is>
          <t>Delivered</t>
        </is>
      </c>
    </row>
    <row r="470">
      <c r="A470" s="64" t="n">
        <v>46203</v>
      </c>
      <c r="B470" s="65" t="inlineStr">
        <is>
          <t>INV-0239</t>
        </is>
      </c>
      <c r="C470" s="65" t="inlineStr">
        <is>
          <t>Walk-in Customer</t>
        </is>
      </c>
      <c r="D470" s="65" t="inlineStr">
        <is>
          <t>Cement 50kg</t>
        </is>
      </c>
      <c r="E470" s="66" t="n">
        <v>2</v>
      </c>
      <c r="H470" s="65" t="inlineStr">
        <is>
          <t>Cash</t>
        </is>
      </c>
      <c r="I470" s="65" t="inlineStr">
        <is>
          <t>Delivered</t>
        </is>
      </c>
    </row>
    <row r="471">
      <c r="A471" s="64" t="n">
        <v>46203</v>
      </c>
      <c r="B471" s="65" t="inlineStr">
        <is>
          <t>INV-0239</t>
        </is>
      </c>
      <c r="C471" s="65" t="inlineStr">
        <is>
          <t>Walk-in Customer</t>
        </is>
      </c>
      <c r="D471" s="65" t="inlineStr">
        <is>
          <t>Ceiling Fan 1200mm</t>
        </is>
      </c>
      <c r="E471" s="66" t="n">
        <v>1</v>
      </c>
      <c r="H471" s="65" t="inlineStr">
        <is>
          <t>Cash</t>
        </is>
      </c>
      <c r="I471" s="65" t="inlineStr">
        <is>
          <t>Delivered</t>
        </is>
      </c>
    </row>
    <row r="472">
      <c r="A472" s="64" t="n">
        <v>46203</v>
      </c>
      <c r="B472" s="65" t="inlineStr">
        <is>
          <t>INV-0239</t>
        </is>
      </c>
      <c r="C472" s="65" t="inlineStr">
        <is>
          <t>Walk-in Customer</t>
        </is>
      </c>
      <c r="D472" s="65" t="inlineStr">
        <is>
          <t>PVC Pipe 1in 6m</t>
        </is>
      </c>
      <c r="E472" s="66" t="n">
        <v>5</v>
      </c>
      <c r="H472" s="65" t="inlineStr">
        <is>
          <t>Cash</t>
        </is>
      </c>
      <c r="I472" s="65" t="inlineStr">
        <is>
          <t>Delivered</t>
        </is>
      </c>
    </row>
    <row r="473">
      <c r="A473" s="64" t="n">
        <v>46204</v>
      </c>
      <c r="B473" s="65" t="inlineStr">
        <is>
          <t>INV-0240</t>
        </is>
      </c>
      <c r="C473" s="65" t="inlineStr">
        <is>
          <t>FMCG Distributors</t>
        </is>
      </c>
      <c r="D473" s="65" t="inlineStr">
        <is>
          <t>Sugar 50kg</t>
        </is>
      </c>
      <c r="E473" s="66" t="n">
        <v>1</v>
      </c>
      <c r="G473" s="68" t="n">
        <v>0.05</v>
      </c>
      <c r="I473" s="65" t="inlineStr">
        <is>
          <t>Delivered</t>
        </is>
      </c>
    </row>
    <row r="474">
      <c r="A474" s="64" t="n">
        <v>46204</v>
      </c>
      <c r="B474" s="65" t="inlineStr">
        <is>
          <t>INV-0240</t>
        </is>
      </c>
      <c r="C474" s="65" t="inlineStr">
        <is>
          <t>FMCG Distributors</t>
        </is>
      </c>
      <c r="D474" s="65" t="inlineStr">
        <is>
          <t>Toothpaste 150g x12</t>
        </is>
      </c>
      <c r="E474" s="66" t="n">
        <v>1</v>
      </c>
      <c r="I474" s="65" t="inlineStr">
        <is>
          <t>Delivered</t>
        </is>
      </c>
    </row>
    <row r="475">
      <c r="A475" s="64" t="n">
        <v>46204</v>
      </c>
      <c r="B475" s="65" t="inlineStr">
        <is>
          <t>INV-0241</t>
        </is>
      </c>
      <c r="C475" s="65" t="inlineStr">
        <is>
          <t>Delhi Hardware Mart</t>
        </is>
      </c>
      <c r="D475" s="65" t="inlineStr">
        <is>
          <t>Copper Wire 90m</t>
        </is>
      </c>
      <c r="E475" s="66" t="n">
        <v>1</v>
      </c>
      <c r="H475" s="65" t="inlineStr">
        <is>
          <t>UPI</t>
        </is>
      </c>
      <c r="I475" s="65" t="inlineStr">
        <is>
          <t>Delivered</t>
        </is>
      </c>
    </row>
    <row r="476">
      <c r="A476" s="64" t="n">
        <v>46204</v>
      </c>
      <c r="B476" s="65" t="inlineStr">
        <is>
          <t>INV-0241</t>
        </is>
      </c>
      <c r="C476" s="65" t="inlineStr">
        <is>
          <t>Delhi Hardware Mart</t>
        </is>
      </c>
      <c r="D476" s="65" t="inlineStr">
        <is>
          <t>A4 Paper Ream</t>
        </is>
      </c>
      <c r="E476" s="66" t="n">
        <v>1</v>
      </c>
      <c r="G476" s="68" t="n">
        <v>0.05</v>
      </c>
      <c r="H476" s="65" t="inlineStr">
        <is>
          <t>UPI</t>
        </is>
      </c>
      <c r="I476" s="65" t="inlineStr">
        <is>
          <t>Delivered</t>
        </is>
      </c>
    </row>
    <row r="477">
      <c r="A477" s="64" t="n">
        <v>46204</v>
      </c>
      <c r="B477" s="65" t="inlineStr">
        <is>
          <t>INV-0241</t>
        </is>
      </c>
      <c r="C477" s="65" t="inlineStr">
        <is>
          <t>Delhi Hardware Mart</t>
        </is>
      </c>
      <c r="D477" s="65" t="inlineStr">
        <is>
          <t>Basmati Rice 25kg</t>
        </is>
      </c>
      <c r="E477" s="66" t="n">
        <v>1</v>
      </c>
      <c r="G477" s="68" t="n">
        <v>0.05</v>
      </c>
      <c r="H477" s="65" t="inlineStr">
        <is>
          <t>UPI</t>
        </is>
      </c>
      <c r="I477" s="65" t="inlineStr">
        <is>
          <t>Delivered</t>
        </is>
      </c>
    </row>
    <row r="478">
      <c r="A478" s="64" t="n">
        <v>46205</v>
      </c>
      <c r="B478" s="65" t="inlineStr">
        <is>
          <t>INV-0242</t>
        </is>
      </c>
      <c r="C478" s="65" t="inlineStr">
        <is>
          <t>Sharma Kirana Store</t>
        </is>
      </c>
      <c r="D478" s="65" t="inlineStr">
        <is>
          <t>Detergent 5kg</t>
        </is>
      </c>
      <c r="E478" s="66" t="n">
        <v>1</v>
      </c>
      <c r="H478" s="65" t="inlineStr">
        <is>
          <t>Bank</t>
        </is>
      </c>
      <c r="I478" s="65" t="inlineStr">
        <is>
          <t>Delivered</t>
        </is>
      </c>
    </row>
    <row r="479">
      <c r="A479" s="64" t="n">
        <v>46205</v>
      </c>
      <c r="B479" s="65" t="inlineStr">
        <is>
          <t>INV-0243</t>
        </is>
      </c>
      <c r="C479" s="65" t="inlineStr">
        <is>
          <t>Walk-in Customer</t>
        </is>
      </c>
      <c r="D479" s="65" t="inlineStr">
        <is>
          <t>Basmati Rice 25kg</t>
        </is>
      </c>
      <c r="E479" s="66" t="n">
        <v>1</v>
      </c>
      <c r="H479" s="65" t="inlineStr">
        <is>
          <t>Cash</t>
        </is>
      </c>
      <c r="I479" s="65" t="inlineStr">
        <is>
          <t>Delivered</t>
        </is>
      </c>
    </row>
    <row r="480">
      <c r="A480" s="64" t="n">
        <v>46205</v>
      </c>
      <c r="B480" s="65" t="inlineStr">
        <is>
          <t>INV-0243</t>
        </is>
      </c>
      <c r="C480" s="65" t="inlineStr">
        <is>
          <t>Walk-in Customer</t>
        </is>
      </c>
      <c r="D480" s="65" t="inlineStr">
        <is>
          <t>Detergent 5kg</t>
        </is>
      </c>
      <c r="E480" s="66" t="n">
        <v>2</v>
      </c>
      <c r="H480" s="65" t="inlineStr">
        <is>
          <t>Cash</t>
        </is>
      </c>
      <c r="I480" s="65" t="inlineStr">
        <is>
          <t>Delivered</t>
        </is>
      </c>
    </row>
    <row r="481">
      <c r="A481" s="64" t="n">
        <v>46205</v>
      </c>
      <c r="B481" s="65" t="inlineStr">
        <is>
          <t>INV-0244</t>
        </is>
      </c>
      <c r="C481" s="65" t="inlineStr">
        <is>
          <t>Sharma Kirana Store</t>
        </is>
      </c>
      <c r="D481" s="65" t="inlineStr">
        <is>
          <t>Sugar 50kg</t>
        </is>
      </c>
      <c r="E481" s="66" t="n">
        <v>1</v>
      </c>
      <c r="H481" s="65" t="inlineStr">
        <is>
          <t>Bank</t>
        </is>
      </c>
      <c r="I481" s="65" t="inlineStr">
        <is>
          <t>Delivered</t>
        </is>
      </c>
    </row>
    <row r="482">
      <c r="A482" s="64" t="n">
        <v>46205</v>
      </c>
      <c r="B482" s="65" t="inlineStr">
        <is>
          <t>INV-0244</t>
        </is>
      </c>
      <c r="C482" s="65" t="inlineStr">
        <is>
          <t>Sharma Kirana Store</t>
        </is>
      </c>
      <c r="D482" s="65" t="inlineStr">
        <is>
          <t>Copper Wire 90m</t>
        </is>
      </c>
      <c r="E482" s="66" t="n">
        <v>1</v>
      </c>
      <c r="G482" s="68" t="n">
        <v>0.05</v>
      </c>
      <c r="H482" s="65" t="inlineStr">
        <is>
          <t>Bank</t>
        </is>
      </c>
      <c r="I482" s="65" t="inlineStr">
        <is>
          <t>Delivered</t>
        </is>
      </c>
    </row>
    <row r="483">
      <c r="A483" s="64" t="n">
        <v>46206</v>
      </c>
      <c r="B483" s="65" t="inlineStr">
        <is>
          <t>INV-0245</t>
        </is>
      </c>
      <c r="C483" s="65" t="inlineStr">
        <is>
          <t>Mehta Constructions</t>
        </is>
      </c>
      <c r="D483" s="65" t="inlineStr">
        <is>
          <t>Detergent 5kg</t>
        </is>
      </c>
      <c r="E483" s="66" t="n">
        <v>2</v>
      </c>
      <c r="G483" s="68" t="n">
        <v>0.05</v>
      </c>
      <c r="H483" s="65" t="inlineStr">
        <is>
          <t>UPI</t>
        </is>
      </c>
      <c r="I483" s="65" t="inlineStr">
        <is>
          <t>Delivered</t>
        </is>
      </c>
    </row>
    <row r="484">
      <c r="A484" s="64" t="n">
        <v>46206</v>
      </c>
      <c r="B484" s="65" t="inlineStr">
        <is>
          <t>INV-0245</t>
        </is>
      </c>
      <c r="C484" s="65" t="inlineStr">
        <is>
          <t>Mehta Constructions</t>
        </is>
      </c>
      <c r="D484" s="65" t="inlineStr">
        <is>
          <t>Tea Premium 1kg</t>
        </is>
      </c>
      <c r="E484" s="66" t="n">
        <v>2</v>
      </c>
      <c r="G484" s="68" t="n">
        <v>0.02</v>
      </c>
      <c r="H484" s="65" t="inlineStr">
        <is>
          <t>UPI</t>
        </is>
      </c>
      <c r="I484" s="65" t="inlineStr">
        <is>
          <t>Delivered</t>
        </is>
      </c>
    </row>
    <row r="485">
      <c r="A485" s="64" t="n">
        <v>46206</v>
      </c>
      <c r="B485" s="65" t="inlineStr">
        <is>
          <t>INV-0246</t>
        </is>
      </c>
      <c r="C485" s="65" t="inlineStr">
        <is>
          <t>Walk-in Customer</t>
        </is>
      </c>
      <c r="D485" s="65" t="inlineStr">
        <is>
          <t>Tea Premium 1kg</t>
        </is>
      </c>
      <c r="E485" s="66" t="n">
        <v>2</v>
      </c>
      <c r="G485" s="68" t="n">
        <v>0.05</v>
      </c>
      <c r="H485" s="65" t="inlineStr">
        <is>
          <t>Cash</t>
        </is>
      </c>
      <c r="I485" s="65" t="inlineStr">
        <is>
          <t>Delivered</t>
        </is>
      </c>
    </row>
    <row r="486">
      <c r="A486" s="64" t="n">
        <v>46206</v>
      </c>
      <c r="B486" s="65" t="inlineStr">
        <is>
          <t>INV-0246</t>
        </is>
      </c>
      <c r="C486" s="65" t="inlineStr">
        <is>
          <t>Walk-in Customer</t>
        </is>
      </c>
      <c r="D486" s="65" t="inlineStr">
        <is>
          <t>PVC Pipe 1in 6m</t>
        </is>
      </c>
      <c r="E486" s="66" t="n">
        <v>4</v>
      </c>
      <c r="G486" s="68" t="n">
        <v>0.02</v>
      </c>
      <c r="H486" s="65" t="inlineStr">
        <is>
          <t>Cash</t>
        </is>
      </c>
      <c r="I486" s="65" t="inlineStr">
        <is>
          <t>Delivered</t>
        </is>
      </c>
    </row>
    <row r="487">
      <c r="A487" s="64" t="n">
        <v>46206</v>
      </c>
      <c r="B487" s="65" t="inlineStr">
        <is>
          <t>INV-0246</t>
        </is>
      </c>
      <c r="C487" s="65" t="inlineStr">
        <is>
          <t>Walk-in Customer</t>
        </is>
      </c>
      <c r="D487" s="65" t="inlineStr">
        <is>
          <t>Toothpaste 150g x12</t>
        </is>
      </c>
      <c r="E487" s="66" t="n">
        <v>1</v>
      </c>
      <c r="H487" s="65" t="inlineStr">
        <is>
          <t>Cash</t>
        </is>
      </c>
      <c r="I487" s="65" t="inlineStr">
        <is>
          <t>Delivered</t>
        </is>
      </c>
    </row>
    <row r="488">
      <c r="A488" s="64" t="n">
        <v>46206</v>
      </c>
      <c r="B488" s="65" t="inlineStr">
        <is>
          <t>INV-0247</t>
        </is>
      </c>
      <c r="C488" s="65" t="inlineStr">
        <is>
          <t>Sharma Kirana Store</t>
        </is>
      </c>
      <c r="D488" s="65" t="inlineStr">
        <is>
          <t>Tea Premium 1kg</t>
        </is>
      </c>
      <c r="E488" s="66" t="n">
        <v>3</v>
      </c>
      <c r="G488" s="68" t="n">
        <v>0.02</v>
      </c>
      <c r="I488" s="65" t="inlineStr">
        <is>
          <t>Delivered</t>
        </is>
      </c>
    </row>
    <row r="489">
      <c r="A489" s="64" t="n">
        <v>46206</v>
      </c>
      <c r="B489" s="65" t="inlineStr">
        <is>
          <t>INV-0247</t>
        </is>
      </c>
      <c r="C489" s="65" t="inlineStr">
        <is>
          <t>Sharma Kirana Store</t>
        </is>
      </c>
      <c r="D489" s="65" t="inlineStr">
        <is>
          <t>Ceiling Fan 1200mm</t>
        </is>
      </c>
      <c r="E489" s="66" t="n">
        <v>1</v>
      </c>
      <c r="G489" s="68" t="n">
        <v>0.02</v>
      </c>
      <c r="I489" s="65" t="inlineStr">
        <is>
          <t>Delivered</t>
        </is>
      </c>
    </row>
    <row r="490">
      <c r="A490" s="64" t="n">
        <v>46207</v>
      </c>
      <c r="B490" s="65" t="inlineStr">
        <is>
          <t>INV-0248</t>
        </is>
      </c>
      <c r="C490" s="65" t="inlineStr">
        <is>
          <t>FMCG Distributors</t>
        </is>
      </c>
      <c r="D490" s="65" t="inlineStr">
        <is>
          <t>Toothpaste 150g x12</t>
        </is>
      </c>
      <c r="E490" s="66" t="n">
        <v>1</v>
      </c>
      <c r="I490" s="65" t="inlineStr">
        <is>
          <t>Delivered</t>
        </is>
      </c>
    </row>
    <row r="491">
      <c r="A491" s="64" t="n">
        <v>46207</v>
      </c>
      <c r="B491" s="65" t="inlineStr">
        <is>
          <t>INV-0248</t>
        </is>
      </c>
      <c r="C491" s="65" t="inlineStr">
        <is>
          <t>FMCG Distributors</t>
        </is>
      </c>
      <c r="D491" s="65" t="inlineStr">
        <is>
          <t>PVC Pipe 1in 6m</t>
        </is>
      </c>
      <c r="E491" s="66" t="n">
        <v>4</v>
      </c>
      <c r="I491" s="65" t="inlineStr">
        <is>
          <t>Delivered</t>
        </is>
      </c>
    </row>
    <row r="492">
      <c r="A492" s="64" t="n">
        <v>46207</v>
      </c>
      <c r="B492" s="65" t="inlineStr">
        <is>
          <t>INV-0249</t>
        </is>
      </c>
      <c r="C492" s="65" t="inlineStr">
        <is>
          <t>Mehta Constructions</t>
        </is>
      </c>
      <c r="D492" s="65" t="inlineStr">
        <is>
          <t>Refined Oil 15L</t>
        </is>
      </c>
      <c r="E492" s="66" t="n">
        <v>1</v>
      </c>
      <c r="G492" s="68" t="n">
        <v>0.05</v>
      </c>
      <c r="I492" s="65" t="inlineStr">
        <is>
          <t>Delivered</t>
        </is>
      </c>
    </row>
    <row r="493">
      <c r="A493" s="64" t="n">
        <v>46209</v>
      </c>
      <c r="B493" s="65" t="inlineStr">
        <is>
          <t>INV-0250</t>
        </is>
      </c>
      <c r="C493" s="65" t="inlineStr">
        <is>
          <t>Sharma Kirana Store</t>
        </is>
      </c>
      <c r="D493" s="65" t="inlineStr">
        <is>
          <t>Copper Wire 90m</t>
        </is>
      </c>
      <c r="E493" s="66" t="n">
        <v>1</v>
      </c>
      <c r="H493" s="65" t="inlineStr">
        <is>
          <t>Bank</t>
        </is>
      </c>
      <c r="I493" s="65" t="inlineStr">
        <is>
          <t>Delivered</t>
        </is>
      </c>
    </row>
    <row r="494">
      <c r="A494" s="64" t="n">
        <v>46209</v>
      </c>
      <c r="B494" s="65" t="inlineStr">
        <is>
          <t>INV-0250</t>
        </is>
      </c>
      <c r="C494" s="65" t="inlineStr">
        <is>
          <t>Sharma Kirana Store</t>
        </is>
      </c>
      <c r="D494" s="65" t="inlineStr">
        <is>
          <t>Toothpaste 150g x12</t>
        </is>
      </c>
      <c r="E494" s="66" t="n">
        <v>1</v>
      </c>
      <c r="H494" s="65" t="inlineStr">
        <is>
          <t>Bank</t>
        </is>
      </c>
      <c r="I494" s="65" t="inlineStr">
        <is>
          <t>Delivered</t>
        </is>
      </c>
    </row>
    <row r="495">
      <c r="A495" s="64" t="n">
        <v>46209</v>
      </c>
      <c r="B495" s="65" t="inlineStr">
        <is>
          <t>INV-0250</t>
        </is>
      </c>
      <c r="C495" s="65" t="inlineStr">
        <is>
          <t>Sharma Kirana Store</t>
        </is>
      </c>
      <c r="D495" s="65" t="inlineStr">
        <is>
          <t>Sugar 50kg</t>
        </is>
      </c>
      <c r="E495" s="66" t="n">
        <v>1</v>
      </c>
      <c r="H495" s="65" t="inlineStr">
        <is>
          <t>Bank</t>
        </is>
      </c>
      <c r="I495" s="65" t="inlineStr">
        <is>
          <t>Delivered</t>
        </is>
      </c>
    </row>
    <row r="496">
      <c r="A496" s="64" t="n">
        <v>46209</v>
      </c>
      <c r="B496" s="65" t="inlineStr">
        <is>
          <t>INV-0251</t>
        </is>
      </c>
      <c r="C496" s="65" t="inlineStr">
        <is>
          <t>Mehta Constructions</t>
        </is>
      </c>
      <c r="D496" s="65" t="inlineStr">
        <is>
          <t>Ceiling Fan 1200mm</t>
        </is>
      </c>
      <c r="E496" s="66" t="n">
        <v>1</v>
      </c>
      <c r="G496" s="68" t="n">
        <v>0.02</v>
      </c>
      <c r="H496" s="65" t="inlineStr">
        <is>
          <t>Bank</t>
        </is>
      </c>
      <c r="I496" s="65" t="inlineStr">
        <is>
          <t>Delivered</t>
        </is>
      </c>
    </row>
    <row r="497">
      <c r="A497" s="64" t="n">
        <v>46209</v>
      </c>
      <c r="B497" s="65" t="inlineStr">
        <is>
          <t>INV-0252</t>
        </is>
      </c>
      <c r="C497" s="65" t="inlineStr">
        <is>
          <t>Mehta Constructions</t>
        </is>
      </c>
      <c r="D497" s="65" t="inlineStr">
        <is>
          <t>Sugar 50kg</t>
        </is>
      </c>
      <c r="E497" s="66" t="n">
        <v>1</v>
      </c>
      <c r="G497" s="68" t="n">
        <v>0.05</v>
      </c>
      <c r="I497" s="65" t="inlineStr">
        <is>
          <t>Delivered</t>
        </is>
      </c>
    </row>
    <row r="498">
      <c r="A498" s="64" t="n">
        <v>46209</v>
      </c>
      <c r="B498" s="65" t="inlineStr">
        <is>
          <t>INV-0252</t>
        </is>
      </c>
      <c r="C498" s="65" t="inlineStr">
        <is>
          <t>Mehta Constructions</t>
        </is>
      </c>
      <c r="D498" s="65" t="inlineStr">
        <is>
          <t>Basmati Rice 25kg</t>
        </is>
      </c>
      <c r="E498" s="66" t="n">
        <v>1</v>
      </c>
      <c r="G498" s="68" t="n">
        <v>0.02</v>
      </c>
      <c r="I498" s="65" t="inlineStr">
        <is>
          <t>Delivered</t>
        </is>
      </c>
    </row>
    <row r="499">
      <c r="A499" s="64" t="n">
        <v>46209</v>
      </c>
      <c r="B499" s="65" t="inlineStr">
        <is>
          <t>INV-0252</t>
        </is>
      </c>
      <c r="C499" s="65" t="inlineStr">
        <is>
          <t>Mehta Constructions</t>
        </is>
      </c>
      <c r="D499" s="65" t="inlineStr">
        <is>
          <t>LED Bulb 9W</t>
        </is>
      </c>
      <c r="E499" s="66" t="n">
        <v>24</v>
      </c>
      <c r="G499" s="68" t="n">
        <v>0.05</v>
      </c>
      <c r="I499" s="65" t="inlineStr">
        <is>
          <t>Delivered</t>
        </is>
      </c>
    </row>
    <row r="500">
      <c r="A500" s="64" t="n">
        <v>46209</v>
      </c>
      <c r="B500" s="65" t="inlineStr">
        <is>
          <t>INV-0253</t>
        </is>
      </c>
      <c r="C500" s="65" t="inlineStr">
        <is>
          <t>Delhi Hardware Mart</t>
        </is>
      </c>
      <c r="D500" s="65" t="inlineStr">
        <is>
          <t>Cement 50kg</t>
        </is>
      </c>
      <c r="E500" s="66" t="n">
        <v>3</v>
      </c>
      <c r="G500" s="68" t="n">
        <v>0.02</v>
      </c>
      <c r="H500" s="65" t="inlineStr">
        <is>
          <t>UPI</t>
        </is>
      </c>
      <c r="I500" s="65" t="inlineStr">
        <is>
          <t>Delivered</t>
        </is>
      </c>
    </row>
    <row r="501">
      <c r="A501" s="64" t="n">
        <v>46209</v>
      </c>
      <c r="B501" s="65" t="inlineStr">
        <is>
          <t>INV-0253</t>
        </is>
      </c>
      <c r="C501" s="65" t="inlineStr">
        <is>
          <t>Delhi Hardware Mart</t>
        </is>
      </c>
      <c r="D501" s="65" t="inlineStr">
        <is>
          <t>Ceiling Fan 1200mm</t>
        </is>
      </c>
      <c r="E501" s="66" t="n">
        <v>1</v>
      </c>
      <c r="H501" s="65" t="inlineStr">
        <is>
          <t>UPI</t>
        </is>
      </c>
      <c r="I501" s="65" t="inlineStr">
        <is>
          <t>Delivered</t>
        </is>
      </c>
    </row>
    <row r="502">
      <c r="A502" s="64" t="n">
        <v>46210</v>
      </c>
      <c r="B502" s="65" t="inlineStr">
        <is>
          <t>INV-0254</t>
        </is>
      </c>
      <c r="C502" s="65" t="inlineStr">
        <is>
          <t>Mehta Constructions</t>
        </is>
      </c>
      <c r="D502" s="65" t="inlineStr">
        <is>
          <t>PVC Pipe 1in 6m</t>
        </is>
      </c>
      <c r="E502" s="66" t="n">
        <v>5</v>
      </c>
      <c r="I502" s="65" t="inlineStr">
        <is>
          <t>Delivered</t>
        </is>
      </c>
    </row>
    <row r="503">
      <c r="A503" s="64" t="n">
        <v>46210</v>
      </c>
      <c r="B503" s="65" t="inlineStr">
        <is>
          <t>INV-0254</t>
        </is>
      </c>
      <c r="C503" s="65" t="inlineStr">
        <is>
          <t>Mehta Constructions</t>
        </is>
      </c>
      <c r="D503" s="65" t="inlineStr">
        <is>
          <t>Ceiling Fan 1200mm</t>
        </is>
      </c>
      <c r="E503" s="66" t="n">
        <v>1</v>
      </c>
      <c r="G503" s="68" t="n">
        <v>0.02</v>
      </c>
      <c r="I503" s="65" t="inlineStr">
        <is>
          <t>Delivered</t>
        </is>
      </c>
    </row>
    <row r="504">
      <c r="A504" s="64" t="n">
        <v>46210</v>
      </c>
      <c r="B504" s="65" t="inlineStr">
        <is>
          <t>INV-0254</t>
        </is>
      </c>
      <c r="C504" s="65" t="inlineStr">
        <is>
          <t>Mehta Constructions</t>
        </is>
      </c>
      <c r="D504" s="65" t="inlineStr">
        <is>
          <t>Cement 50kg</t>
        </is>
      </c>
      <c r="E504" s="66" t="n">
        <v>6</v>
      </c>
      <c r="I504" s="65" t="inlineStr">
        <is>
          <t>Delivered</t>
        </is>
      </c>
    </row>
    <row r="505">
      <c r="A505" s="64" t="n">
        <v>46210</v>
      </c>
      <c r="B505" s="65" t="inlineStr">
        <is>
          <t>INV-0255</t>
        </is>
      </c>
      <c r="C505" s="65" t="inlineStr">
        <is>
          <t>Delhi Hardware Mart</t>
        </is>
      </c>
      <c r="D505" s="65" t="inlineStr">
        <is>
          <t>Refined Oil 15L</t>
        </is>
      </c>
      <c r="E505" s="66" t="n">
        <v>1</v>
      </c>
      <c r="G505" s="68" t="n">
        <v>0.05</v>
      </c>
      <c r="H505" s="65" t="inlineStr">
        <is>
          <t>Bank</t>
        </is>
      </c>
      <c r="I505" s="65" t="inlineStr">
        <is>
          <t>Delivered</t>
        </is>
      </c>
    </row>
    <row r="506">
      <c r="A506" s="64" t="n">
        <v>46210</v>
      </c>
      <c r="B506" s="65" t="inlineStr">
        <is>
          <t>INV-0255</t>
        </is>
      </c>
      <c r="C506" s="65" t="inlineStr">
        <is>
          <t>Delhi Hardware Mart</t>
        </is>
      </c>
      <c r="D506" s="65" t="inlineStr">
        <is>
          <t>LED Bulb 9W</t>
        </is>
      </c>
      <c r="E506" s="66" t="n">
        <v>9</v>
      </c>
      <c r="H506" s="65" t="inlineStr">
        <is>
          <t>Bank</t>
        </is>
      </c>
      <c r="I506" s="65" t="inlineStr">
        <is>
          <t>Delivered</t>
        </is>
      </c>
    </row>
    <row r="507">
      <c r="A507" s="64" t="n">
        <v>46210</v>
      </c>
      <c r="B507" s="65" t="inlineStr">
        <is>
          <t>INV-0256</t>
        </is>
      </c>
      <c r="C507" s="65" t="inlineStr">
        <is>
          <t>FMCG Distributors</t>
        </is>
      </c>
      <c r="D507" s="65" t="inlineStr">
        <is>
          <t>Toothpaste 150g x12</t>
        </is>
      </c>
      <c r="E507" s="66" t="n">
        <v>2</v>
      </c>
      <c r="H507" s="65" t="inlineStr">
        <is>
          <t>Bank</t>
        </is>
      </c>
      <c r="I507" s="65" t="inlineStr">
        <is>
          <t>Delivered</t>
        </is>
      </c>
    </row>
    <row r="508">
      <c r="A508" s="64" t="n">
        <v>46210</v>
      </c>
      <c r="B508" s="65" t="inlineStr">
        <is>
          <t>INV-0256</t>
        </is>
      </c>
      <c r="C508" s="65" t="inlineStr">
        <is>
          <t>FMCG Distributors</t>
        </is>
      </c>
      <c r="D508" s="65" t="inlineStr">
        <is>
          <t>Tea Premium 1kg</t>
        </is>
      </c>
      <c r="E508" s="66" t="n">
        <v>1</v>
      </c>
      <c r="H508" s="65" t="inlineStr">
        <is>
          <t>Bank</t>
        </is>
      </c>
      <c r="I508" s="65" t="inlineStr">
        <is>
          <t>Delivered</t>
        </is>
      </c>
    </row>
    <row r="509">
      <c r="A509" s="64" t="n">
        <v>46211</v>
      </c>
      <c r="B509" s="65" t="inlineStr">
        <is>
          <t>INV-0257</t>
        </is>
      </c>
      <c r="C509" s="65" t="inlineStr">
        <is>
          <t>Mehta Constructions</t>
        </is>
      </c>
      <c r="D509" s="65" t="inlineStr">
        <is>
          <t>PVC Pipe 1in 6m</t>
        </is>
      </c>
      <c r="E509" s="66" t="n">
        <v>9</v>
      </c>
      <c r="G509" s="68" t="n">
        <v>0.05</v>
      </c>
      <c r="H509" s="65" t="inlineStr">
        <is>
          <t>Bank</t>
        </is>
      </c>
      <c r="I509" s="65" t="inlineStr">
        <is>
          <t>Delivered</t>
        </is>
      </c>
    </row>
    <row r="510">
      <c r="A510" s="64" t="n">
        <v>46211</v>
      </c>
      <c r="B510" s="65" t="inlineStr">
        <is>
          <t>INV-0257</t>
        </is>
      </c>
      <c r="C510" s="65" t="inlineStr">
        <is>
          <t>Mehta Constructions</t>
        </is>
      </c>
      <c r="D510" s="65" t="inlineStr">
        <is>
          <t>Cement 50kg</t>
        </is>
      </c>
      <c r="E510" s="66" t="n">
        <v>10</v>
      </c>
      <c r="G510" s="68" t="n">
        <v>0.02</v>
      </c>
      <c r="H510" s="65" t="inlineStr">
        <is>
          <t>Bank</t>
        </is>
      </c>
      <c r="I510" s="65" t="inlineStr">
        <is>
          <t>Delivered</t>
        </is>
      </c>
    </row>
    <row r="511">
      <c r="A511" s="64" t="n">
        <v>46211</v>
      </c>
      <c r="B511" s="65" t="inlineStr">
        <is>
          <t>INV-0258</t>
        </is>
      </c>
      <c r="C511" s="65" t="inlineStr">
        <is>
          <t>Walk-in Customer</t>
        </is>
      </c>
      <c r="D511" s="65" t="inlineStr">
        <is>
          <t>Toothpaste 150g x12</t>
        </is>
      </c>
      <c r="E511" s="66" t="n">
        <v>1</v>
      </c>
      <c r="G511" s="68" t="n">
        <v>0.02</v>
      </c>
      <c r="H511" s="65" t="inlineStr">
        <is>
          <t>Cash</t>
        </is>
      </c>
      <c r="I511" s="65" t="inlineStr">
        <is>
          <t>Delivered</t>
        </is>
      </c>
    </row>
    <row r="512">
      <c r="A512" s="64" t="n">
        <v>46211</v>
      </c>
      <c r="B512" s="65" t="inlineStr">
        <is>
          <t>INV-0258</t>
        </is>
      </c>
      <c r="C512" s="65" t="inlineStr">
        <is>
          <t>Walk-in Customer</t>
        </is>
      </c>
      <c r="D512" s="65" t="inlineStr">
        <is>
          <t>Basmati Rice 25kg</t>
        </is>
      </c>
      <c r="E512" s="66" t="n">
        <v>2</v>
      </c>
      <c r="H512" s="65" t="inlineStr">
        <is>
          <t>Cash</t>
        </is>
      </c>
      <c r="I512" s="65" t="inlineStr">
        <is>
          <t>Delivered</t>
        </is>
      </c>
    </row>
    <row r="513">
      <c r="A513" s="64" t="n">
        <v>46211</v>
      </c>
      <c r="B513" s="65" t="inlineStr">
        <is>
          <t>INV-0258</t>
        </is>
      </c>
      <c r="C513" s="65" t="inlineStr">
        <is>
          <t>Walk-in Customer</t>
        </is>
      </c>
      <c r="D513" s="65" t="inlineStr">
        <is>
          <t>Cement 50kg</t>
        </is>
      </c>
      <c r="E513" s="66" t="n">
        <v>7</v>
      </c>
      <c r="H513" s="65" t="inlineStr">
        <is>
          <t>Cash</t>
        </is>
      </c>
      <c r="I513" s="65" t="inlineStr">
        <is>
          <t>Delivered</t>
        </is>
      </c>
    </row>
    <row r="514">
      <c r="A514" s="64" t="n">
        <v>46211</v>
      </c>
      <c r="B514" s="65" t="inlineStr">
        <is>
          <t>INV-0259</t>
        </is>
      </c>
      <c r="C514" s="65" t="inlineStr">
        <is>
          <t>Walk-in Customer</t>
        </is>
      </c>
      <c r="D514" s="65" t="inlineStr">
        <is>
          <t>PVC Pipe 1in 6m</t>
        </is>
      </c>
      <c r="E514" s="66" t="n">
        <v>7</v>
      </c>
      <c r="G514" s="68" t="n">
        <v>0.05</v>
      </c>
      <c r="H514" s="65" t="inlineStr">
        <is>
          <t>Cash</t>
        </is>
      </c>
      <c r="I514" s="65" t="inlineStr">
        <is>
          <t>Delivered</t>
        </is>
      </c>
    </row>
    <row r="515">
      <c r="A515" s="64" t="n">
        <v>46211</v>
      </c>
      <c r="B515" s="65" t="inlineStr">
        <is>
          <t>INV-0259</t>
        </is>
      </c>
      <c r="C515" s="65" t="inlineStr">
        <is>
          <t>Walk-in Customer</t>
        </is>
      </c>
      <c r="D515" s="65" t="inlineStr">
        <is>
          <t>LED Bulb 9W</t>
        </is>
      </c>
      <c r="E515" s="66" t="n">
        <v>8</v>
      </c>
      <c r="H515" s="65" t="inlineStr">
        <is>
          <t>Cash</t>
        </is>
      </c>
      <c r="I515" s="65" t="inlineStr">
        <is>
          <t>Delivered</t>
        </is>
      </c>
    </row>
    <row r="516">
      <c r="A516" s="64" t="n">
        <v>46211</v>
      </c>
      <c r="B516" s="65" t="inlineStr">
        <is>
          <t>INV-0260</t>
        </is>
      </c>
      <c r="C516" s="65" t="inlineStr">
        <is>
          <t>Walk-in Customer</t>
        </is>
      </c>
      <c r="D516" s="65" t="inlineStr">
        <is>
          <t>LED Bulb 9W</t>
        </is>
      </c>
      <c r="E516" s="66" t="n">
        <v>22</v>
      </c>
      <c r="G516" s="68" t="n">
        <v>0.05</v>
      </c>
      <c r="H516" s="65" t="inlineStr">
        <is>
          <t>Cash</t>
        </is>
      </c>
      <c r="I516" s="65" t="inlineStr">
        <is>
          <t>Delivered</t>
        </is>
      </c>
    </row>
    <row r="517">
      <c r="A517" s="64" t="n">
        <v>46211</v>
      </c>
      <c r="B517" s="65" t="inlineStr">
        <is>
          <t>INV-0260</t>
        </is>
      </c>
      <c r="C517" s="65" t="inlineStr">
        <is>
          <t>Walk-in Customer</t>
        </is>
      </c>
      <c r="D517" s="65" t="inlineStr">
        <is>
          <t>Copper Wire 90m</t>
        </is>
      </c>
      <c r="E517" s="66" t="n">
        <v>1</v>
      </c>
      <c r="G517" s="68" t="n">
        <v>0.05</v>
      </c>
      <c r="H517" s="65" t="inlineStr">
        <is>
          <t>Cash</t>
        </is>
      </c>
      <c r="I517" s="65" t="inlineStr">
        <is>
          <t>Delivered</t>
        </is>
      </c>
    </row>
    <row r="518">
      <c r="A518" s="64" t="n">
        <v>46211</v>
      </c>
      <c r="B518" s="65" t="inlineStr">
        <is>
          <t>INV-0260</t>
        </is>
      </c>
      <c r="C518" s="65" t="inlineStr">
        <is>
          <t>Walk-in Customer</t>
        </is>
      </c>
      <c r="D518" s="65" t="inlineStr">
        <is>
          <t>Cement 50kg</t>
        </is>
      </c>
      <c r="E518" s="66" t="n">
        <v>9</v>
      </c>
      <c r="H518" s="65" t="inlineStr">
        <is>
          <t>Cash</t>
        </is>
      </c>
      <c r="I518" s="65" t="inlineStr">
        <is>
          <t>Delivered</t>
        </is>
      </c>
    </row>
    <row r="519">
      <c r="A519" s="64" t="n">
        <v>46212</v>
      </c>
      <c r="B519" s="65" t="inlineStr">
        <is>
          <t>INV-0261</t>
        </is>
      </c>
      <c r="C519" s="65" t="inlineStr">
        <is>
          <t>FMCG Distributors</t>
        </is>
      </c>
      <c r="D519" s="65" t="inlineStr">
        <is>
          <t>Sugar 50kg</t>
        </is>
      </c>
      <c r="E519" s="66" t="n">
        <v>1</v>
      </c>
      <c r="I519" s="65" t="inlineStr">
        <is>
          <t>Delivered</t>
        </is>
      </c>
    </row>
    <row r="520">
      <c r="A520" s="64" t="n">
        <v>46212</v>
      </c>
      <c r="B520" s="65" t="inlineStr">
        <is>
          <t>INV-0261</t>
        </is>
      </c>
      <c r="C520" s="65" t="inlineStr">
        <is>
          <t>FMCG Distributors</t>
        </is>
      </c>
      <c r="D520" s="65" t="inlineStr">
        <is>
          <t>Detergent 5kg</t>
        </is>
      </c>
      <c r="E520" s="66" t="n">
        <v>2</v>
      </c>
      <c r="I520" s="65" t="inlineStr">
        <is>
          <t>Delivered</t>
        </is>
      </c>
    </row>
    <row r="521">
      <c r="A521" s="64" t="n">
        <v>46212</v>
      </c>
      <c r="B521" s="65" t="inlineStr">
        <is>
          <t>INV-0262</t>
        </is>
      </c>
      <c r="C521" s="65" t="inlineStr">
        <is>
          <t>FMCG Distributors</t>
        </is>
      </c>
      <c r="D521" s="65" t="inlineStr">
        <is>
          <t>Refined Oil 15L</t>
        </is>
      </c>
      <c r="E521" s="66" t="n">
        <v>1</v>
      </c>
      <c r="G521" s="68" t="n">
        <v>0.05</v>
      </c>
      <c r="H521" s="65" t="inlineStr">
        <is>
          <t>Bank</t>
        </is>
      </c>
      <c r="I521" s="65" t="inlineStr">
        <is>
          <t>Delivered</t>
        </is>
      </c>
    </row>
    <row r="522">
      <c r="A522" s="64" t="n">
        <v>46212</v>
      </c>
      <c r="B522" s="65" t="inlineStr">
        <is>
          <t>INV-0262</t>
        </is>
      </c>
      <c r="C522" s="65" t="inlineStr">
        <is>
          <t>FMCG Distributors</t>
        </is>
      </c>
      <c r="D522" s="65" t="inlineStr">
        <is>
          <t>PVC Pipe 1in 6m</t>
        </is>
      </c>
      <c r="E522" s="66" t="n">
        <v>9</v>
      </c>
      <c r="G522" s="68" t="n">
        <v>0.02</v>
      </c>
      <c r="H522" s="65" t="inlineStr">
        <is>
          <t>Bank</t>
        </is>
      </c>
      <c r="I522" s="65" t="inlineStr">
        <is>
          <t>Delivered</t>
        </is>
      </c>
    </row>
    <row r="523">
      <c r="A523" s="64" t="n">
        <v>46212</v>
      </c>
      <c r="B523" s="65" t="inlineStr">
        <is>
          <t>INV-0263</t>
        </is>
      </c>
      <c r="C523" s="65" t="inlineStr">
        <is>
          <t>Delhi Hardware Mart</t>
        </is>
      </c>
      <c r="D523" s="65" t="inlineStr">
        <is>
          <t>Toothpaste 150g x12</t>
        </is>
      </c>
      <c r="E523" s="66" t="n">
        <v>1</v>
      </c>
      <c r="I523" s="65" t="inlineStr">
        <is>
          <t>Delivered</t>
        </is>
      </c>
    </row>
    <row r="524">
      <c r="A524" s="64" t="n">
        <v>46213</v>
      </c>
      <c r="B524" s="65" t="inlineStr">
        <is>
          <t>INV-0264</t>
        </is>
      </c>
      <c r="C524" s="65" t="inlineStr">
        <is>
          <t>Sharma Kirana Store</t>
        </is>
      </c>
      <c r="D524" s="65" t="inlineStr">
        <is>
          <t>Ceiling Fan 1200mm</t>
        </is>
      </c>
      <c r="E524" s="66" t="n">
        <v>1</v>
      </c>
      <c r="I524" s="65" t="inlineStr">
        <is>
          <t>Delivered</t>
        </is>
      </c>
    </row>
    <row r="525">
      <c r="A525" s="64" t="n">
        <v>46213</v>
      </c>
      <c r="B525" s="65" t="inlineStr">
        <is>
          <t>INV-0264</t>
        </is>
      </c>
      <c r="C525" s="65" t="inlineStr">
        <is>
          <t>Sharma Kirana Store</t>
        </is>
      </c>
      <c r="D525" s="65" t="inlineStr">
        <is>
          <t>PVC Pipe 1in 6m</t>
        </is>
      </c>
      <c r="E525" s="66" t="n">
        <v>5</v>
      </c>
      <c r="I525" s="65" t="inlineStr">
        <is>
          <t>Delivered</t>
        </is>
      </c>
    </row>
    <row r="526">
      <c r="A526" s="64" t="n">
        <v>46213</v>
      </c>
      <c r="B526" s="65" t="inlineStr">
        <is>
          <t>INV-0265</t>
        </is>
      </c>
      <c r="C526" s="65" t="inlineStr">
        <is>
          <t>Sharma Kirana Store</t>
        </is>
      </c>
      <c r="D526" s="65" t="inlineStr">
        <is>
          <t>Refined Oil 15L</t>
        </is>
      </c>
      <c r="E526" s="66" t="n">
        <v>2</v>
      </c>
      <c r="G526" s="68" t="n">
        <v>0.05</v>
      </c>
      <c r="I526" s="65" t="inlineStr">
        <is>
          <t>Delivered</t>
        </is>
      </c>
    </row>
    <row r="527">
      <c r="A527" s="64" t="n">
        <v>46213</v>
      </c>
      <c r="B527" s="65" t="inlineStr">
        <is>
          <t>INV-0265</t>
        </is>
      </c>
      <c r="C527" s="65" t="inlineStr">
        <is>
          <t>Sharma Kirana Store</t>
        </is>
      </c>
      <c r="D527" s="65" t="inlineStr">
        <is>
          <t>Copper Wire 90m</t>
        </is>
      </c>
      <c r="E527" s="66" t="n">
        <v>1</v>
      </c>
      <c r="G527" s="68" t="n">
        <v>0.05</v>
      </c>
      <c r="I527" s="65" t="inlineStr">
        <is>
          <t>Delivered</t>
        </is>
      </c>
    </row>
    <row r="528">
      <c r="A528" s="64" t="n">
        <v>46213</v>
      </c>
      <c r="B528" s="65" t="inlineStr">
        <is>
          <t>INV-0266</t>
        </is>
      </c>
      <c r="C528" s="65" t="inlineStr">
        <is>
          <t>Delhi Hardware Mart</t>
        </is>
      </c>
      <c r="D528" s="65" t="inlineStr">
        <is>
          <t>LED Bulb 9W</t>
        </is>
      </c>
      <c r="E528" s="66" t="n">
        <v>7</v>
      </c>
      <c r="H528" s="65" t="inlineStr">
        <is>
          <t>Bank</t>
        </is>
      </c>
      <c r="I528" s="65" t="inlineStr">
        <is>
          <t>Delivered</t>
        </is>
      </c>
    </row>
    <row r="529">
      <c r="A529" s="64" t="n">
        <v>46213</v>
      </c>
      <c r="B529" s="65" t="inlineStr">
        <is>
          <t>INV-0266</t>
        </is>
      </c>
      <c r="C529" s="65" t="inlineStr">
        <is>
          <t>Delhi Hardware Mart</t>
        </is>
      </c>
      <c r="D529" s="65" t="inlineStr">
        <is>
          <t>Cement 50kg</t>
        </is>
      </c>
      <c r="E529" s="66" t="n">
        <v>7</v>
      </c>
      <c r="G529" s="68" t="n">
        <v>0.05</v>
      </c>
      <c r="H529" s="65" t="inlineStr">
        <is>
          <t>Bank</t>
        </is>
      </c>
      <c r="I529" s="65" t="inlineStr">
        <is>
          <t>Delivered</t>
        </is>
      </c>
    </row>
    <row r="530">
      <c r="A530" s="64" t="n">
        <v>46213</v>
      </c>
      <c r="B530" s="65" t="inlineStr">
        <is>
          <t>INV-0267</t>
        </is>
      </c>
      <c r="C530" s="65" t="inlineStr">
        <is>
          <t>Gupta Electricals</t>
        </is>
      </c>
      <c r="D530" s="65" t="inlineStr">
        <is>
          <t>Sugar 50kg</t>
        </is>
      </c>
      <c r="E530" s="66" t="n">
        <v>1</v>
      </c>
      <c r="G530" s="68" t="n">
        <v>0.05</v>
      </c>
      <c r="I530" s="65" t="inlineStr">
        <is>
          <t>Delivered</t>
        </is>
      </c>
    </row>
    <row r="531">
      <c r="A531" s="64" t="n">
        <v>46214</v>
      </c>
      <c r="B531" s="65" t="inlineStr">
        <is>
          <t>INV-0268</t>
        </is>
      </c>
      <c r="C531" s="65" t="inlineStr">
        <is>
          <t>FMCG Distributors</t>
        </is>
      </c>
      <c r="D531" s="65" t="inlineStr">
        <is>
          <t>Cement 50kg</t>
        </is>
      </c>
      <c r="E531" s="66" t="n">
        <v>3</v>
      </c>
      <c r="G531" s="68" t="n">
        <v>0.02</v>
      </c>
      <c r="I531" s="65" t="inlineStr">
        <is>
          <t>Delivered</t>
        </is>
      </c>
    </row>
    <row r="532">
      <c r="A532" s="64" t="n">
        <v>46214</v>
      </c>
      <c r="B532" s="65" t="inlineStr">
        <is>
          <t>INV-0268</t>
        </is>
      </c>
      <c r="C532" s="65" t="inlineStr">
        <is>
          <t>FMCG Distributors</t>
        </is>
      </c>
      <c r="D532" s="65" t="inlineStr">
        <is>
          <t>LED Bulb 9W</t>
        </is>
      </c>
      <c r="E532" s="66" t="n">
        <v>16</v>
      </c>
      <c r="I532" s="65" t="inlineStr">
        <is>
          <t>Delivered</t>
        </is>
      </c>
    </row>
    <row r="533">
      <c r="A533" s="64" t="n">
        <v>46214</v>
      </c>
      <c r="B533" s="65" t="inlineStr">
        <is>
          <t>INV-0268</t>
        </is>
      </c>
      <c r="C533" s="65" t="inlineStr">
        <is>
          <t>FMCG Distributors</t>
        </is>
      </c>
      <c r="D533" s="65" t="inlineStr">
        <is>
          <t>Basmati Rice 25kg</t>
        </is>
      </c>
      <c r="E533" s="66" t="n">
        <v>1</v>
      </c>
      <c r="G533" s="68" t="n">
        <v>0.05</v>
      </c>
      <c r="I533" s="65" t="inlineStr">
        <is>
          <t>Delivered</t>
        </is>
      </c>
    </row>
    <row r="534">
      <c r="A534" s="64" t="n">
        <v>46214</v>
      </c>
      <c r="B534" s="65" t="inlineStr">
        <is>
          <t>INV-0269</t>
        </is>
      </c>
      <c r="C534" s="65" t="inlineStr">
        <is>
          <t>Walk-in Customer</t>
        </is>
      </c>
      <c r="D534" s="65" t="inlineStr">
        <is>
          <t>Tea Premium 1kg</t>
        </is>
      </c>
      <c r="E534" s="66" t="n">
        <v>1</v>
      </c>
      <c r="G534" s="68" t="n">
        <v>0.05</v>
      </c>
      <c r="H534" s="65" t="inlineStr">
        <is>
          <t>Cash</t>
        </is>
      </c>
      <c r="I534" s="65" t="inlineStr">
        <is>
          <t>Delivered</t>
        </is>
      </c>
    </row>
    <row r="535">
      <c r="A535" s="64" t="n">
        <v>46214</v>
      </c>
      <c r="B535" s="65" t="inlineStr">
        <is>
          <t>INV-0269</t>
        </is>
      </c>
      <c r="C535" s="65" t="inlineStr">
        <is>
          <t>Walk-in Customer</t>
        </is>
      </c>
      <c r="D535" s="65" t="inlineStr">
        <is>
          <t>Basmati Rice 25kg</t>
        </is>
      </c>
      <c r="E535" s="66" t="n">
        <v>2</v>
      </c>
      <c r="H535" s="65" t="inlineStr">
        <is>
          <t>Cash</t>
        </is>
      </c>
      <c r="I535" s="65" t="inlineStr">
        <is>
          <t>Delivered</t>
        </is>
      </c>
    </row>
    <row r="536">
      <c r="A536" s="64" t="n">
        <v>46216</v>
      </c>
      <c r="B536" s="65" t="inlineStr">
        <is>
          <t>INV-0270</t>
        </is>
      </c>
      <c r="C536" s="65" t="inlineStr">
        <is>
          <t>Walk-in Customer</t>
        </is>
      </c>
      <c r="D536" s="65" t="inlineStr">
        <is>
          <t>LED Bulb 9W</t>
        </is>
      </c>
      <c r="E536" s="66" t="n">
        <v>10</v>
      </c>
      <c r="G536" s="68" t="n">
        <v>0.02</v>
      </c>
      <c r="H536" s="65" t="inlineStr">
        <is>
          <t>Cash</t>
        </is>
      </c>
      <c r="I536" s="65" t="inlineStr">
        <is>
          <t>Delivered</t>
        </is>
      </c>
    </row>
    <row r="537">
      <c r="A537" s="64" t="n">
        <v>46216</v>
      </c>
      <c r="B537" s="65" t="inlineStr">
        <is>
          <t>INV-0270</t>
        </is>
      </c>
      <c r="C537" s="65" t="inlineStr">
        <is>
          <t>Walk-in Customer</t>
        </is>
      </c>
      <c r="D537" s="65" t="inlineStr">
        <is>
          <t>Cement 50kg</t>
        </is>
      </c>
      <c r="E537" s="66" t="n">
        <v>12</v>
      </c>
      <c r="H537" s="65" t="inlineStr">
        <is>
          <t>Cash</t>
        </is>
      </c>
      <c r="I537" s="65" t="inlineStr">
        <is>
          <t>Delivered</t>
        </is>
      </c>
    </row>
    <row r="538">
      <c r="A538" s="64" t="n">
        <v>46216</v>
      </c>
      <c r="B538" s="65" t="inlineStr">
        <is>
          <t>INV-0271</t>
        </is>
      </c>
      <c r="C538" s="65" t="inlineStr">
        <is>
          <t>Walk-in Customer</t>
        </is>
      </c>
      <c r="D538" s="65" t="inlineStr">
        <is>
          <t>Cement 50kg</t>
        </is>
      </c>
      <c r="E538" s="66" t="n">
        <v>6</v>
      </c>
      <c r="G538" s="68" t="n">
        <v>0.02</v>
      </c>
      <c r="H538" s="65" t="inlineStr">
        <is>
          <t>Cash</t>
        </is>
      </c>
      <c r="I538" s="65" t="inlineStr">
        <is>
          <t>Delivered</t>
        </is>
      </c>
    </row>
    <row r="539">
      <c r="A539" s="64" t="n">
        <v>46216</v>
      </c>
      <c r="B539" s="65" t="inlineStr">
        <is>
          <t>INV-0271</t>
        </is>
      </c>
      <c r="C539" s="65" t="inlineStr">
        <is>
          <t>Walk-in Customer</t>
        </is>
      </c>
      <c r="D539" s="65" t="inlineStr">
        <is>
          <t>Tea Premium 1kg</t>
        </is>
      </c>
      <c r="E539" s="66" t="n">
        <v>1</v>
      </c>
      <c r="H539" s="65" t="inlineStr">
        <is>
          <t>Cash</t>
        </is>
      </c>
      <c r="I539" s="65" t="inlineStr">
        <is>
          <t>Delivered</t>
        </is>
      </c>
    </row>
    <row r="540">
      <c r="A540" s="64" t="n">
        <v>46217</v>
      </c>
      <c r="B540" s="65" t="inlineStr">
        <is>
          <t>INV-0272</t>
        </is>
      </c>
      <c r="C540" s="65" t="inlineStr">
        <is>
          <t>Delhi Hardware Mart</t>
        </is>
      </c>
      <c r="D540" s="65" t="inlineStr">
        <is>
          <t>LED Bulb 9W</t>
        </is>
      </c>
      <c r="E540" s="66" t="n">
        <v>5</v>
      </c>
      <c r="I540" s="65" t="inlineStr">
        <is>
          <t>Delivered</t>
        </is>
      </c>
    </row>
    <row r="541">
      <c r="A541" s="64" t="n">
        <v>46217</v>
      </c>
      <c r="B541" s="65" t="inlineStr">
        <is>
          <t>INV-0272</t>
        </is>
      </c>
      <c r="C541" s="65" t="inlineStr">
        <is>
          <t>Delhi Hardware Mart</t>
        </is>
      </c>
      <c r="D541" s="65" t="inlineStr">
        <is>
          <t>Refined Oil 15L</t>
        </is>
      </c>
      <c r="E541" s="66" t="n">
        <v>1</v>
      </c>
      <c r="I541" s="65" t="inlineStr">
        <is>
          <t>Delivered</t>
        </is>
      </c>
    </row>
    <row r="542">
      <c r="A542" s="64" t="n">
        <v>46217</v>
      </c>
      <c r="B542" s="65" t="inlineStr">
        <is>
          <t>INV-0273</t>
        </is>
      </c>
      <c r="C542" s="65" t="inlineStr">
        <is>
          <t>Gupta Electricals</t>
        </is>
      </c>
      <c r="D542" s="65" t="inlineStr">
        <is>
          <t>Toothpaste 150g x12</t>
        </is>
      </c>
      <c r="E542" s="66" t="n">
        <v>2</v>
      </c>
      <c r="G542" s="68" t="n">
        <v>0.02</v>
      </c>
      <c r="I542" s="65" t="inlineStr">
        <is>
          <t>Delivered</t>
        </is>
      </c>
    </row>
    <row r="543">
      <c r="A543" s="64" t="n">
        <v>46217</v>
      </c>
      <c r="B543" s="65" t="inlineStr">
        <is>
          <t>INV-0273</t>
        </is>
      </c>
      <c r="C543" s="65" t="inlineStr">
        <is>
          <t>Gupta Electricals</t>
        </is>
      </c>
      <c r="D543" s="65" t="inlineStr">
        <is>
          <t>LED Bulb 9W</t>
        </is>
      </c>
      <c r="E543" s="66" t="n">
        <v>21</v>
      </c>
      <c r="I543" s="65" t="inlineStr">
        <is>
          <t>Delivered</t>
        </is>
      </c>
    </row>
    <row r="544">
      <c r="A544" s="64" t="n">
        <v>46217</v>
      </c>
      <c r="B544" s="65" t="inlineStr">
        <is>
          <t>INV-0273</t>
        </is>
      </c>
      <c r="C544" s="65" t="inlineStr">
        <is>
          <t>Gupta Electricals</t>
        </is>
      </c>
      <c r="D544" s="65" t="inlineStr">
        <is>
          <t>Sugar 50kg</t>
        </is>
      </c>
      <c r="E544" s="66" t="n">
        <v>1</v>
      </c>
      <c r="G544" s="68" t="n">
        <v>0.02</v>
      </c>
      <c r="I544" s="65" t="inlineStr">
        <is>
          <t>Delivered</t>
        </is>
      </c>
    </row>
    <row r="545">
      <c r="A545" s="64" t="n">
        <v>46218</v>
      </c>
      <c r="B545" s="65" t="inlineStr">
        <is>
          <t>INV-0274</t>
        </is>
      </c>
      <c r="C545" s="65" t="inlineStr">
        <is>
          <t>Walk-in Customer</t>
        </is>
      </c>
      <c r="D545" s="65" t="inlineStr">
        <is>
          <t>Toothpaste 150g x12</t>
        </is>
      </c>
      <c r="E545" s="66" t="n">
        <v>1</v>
      </c>
      <c r="H545" s="65" t="inlineStr">
        <is>
          <t>Cash</t>
        </is>
      </c>
      <c r="I545" s="65" t="inlineStr">
        <is>
          <t>Delivered</t>
        </is>
      </c>
    </row>
    <row r="546">
      <c r="A546" s="64" t="n">
        <v>46218</v>
      </c>
      <c r="B546" s="65" t="inlineStr">
        <is>
          <t>INV-0274</t>
        </is>
      </c>
      <c r="C546" s="65" t="inlineStr">
        <is>
          <t>Walk-in Customer</t>
        </is>
      </c>
      <c r="D546" s="65" t="inlineStr">
        <is>
          <t>Tea Premium 1kg</t>
        </is>
      </c>
      <c r="E546" s="66" t="n">
        <v>3</v>
      </c>
      <c r="H546" s="65" t="inlineStr">
        <is>
          <t>Cash</t>
        </is>
      </c>
      <c r="I546" s="65" t="inlineStr">
        <is>
          <t>Delivered</t>
        </is>
      </c>
    </row>
    <row r="547">
      <c r="A547" s="64" t="n">
        <v>46218</v>
      </c>
      <c r="B547" s="65" t="inlineStr">
        <is>
          <t>INV-0275</t>
        </is>
      </c>
      <c r="C547" s="65" t="inlineStr">
        <is>
          <t>Delhi Hardware Mart</t>
        </is>
      </c>
      <c r="D547" s="65" t="inlineStr">
        <is>
          <t>Sugar 50kg</t>
        </is>
      </c>
      <c r="E547" s="66" t="n">
        <v>1</v>
      </c>
      <c r="I547" s="65" t="inlineStr">
        <is>
          <t>Delivered</t>
        </is>
      </c>
    </row>
    <row r="548">
      <c r="A548" s="64" t="n">
        <v>46218</v>
      </c>
      <c r="B548" s="65" t="inlineStr">
        <is>
          <t>INV-0275</t>
        </is>
      </c>
      <c r="C548" s="65" t="inlineStr">
        <is>
          <t>Delhi Hardware Mart</t>
        </is>
      </c>
      <c r="D548" s="65" t="inlineStr">
        <is>
          <t>Tea Premium 1kg</t>
        </is>
      </c>
      <c r="E548" s="66" t="n">
        <v>3</v>
      </c>
      <c r="G548" s="68" t="n">
        <v>0.02</v>
      </c>
      <c r="I548" s="65" t="inlineStr">
        <is>
          <t>Delivered</t>
        </is>
      </c>
    </row>
    <row r="549">
      <c r="A549" s="64" t="n">
        <v>46218</v>
      </c>
      <c r="B549" s="65" t="inlineStr">
        <is>
          <t>INV-0276</t>
        </is>
      </c>
      <c r="C549" s="65" t="inlineStr">
        <is>
          <t>Walk-in Customer</t>
        </is>
      </c>
      <c r="D549" s="65" t="inlineStr">
        <is>
          <t>Toothpaste 150g x12</t>
        </is>
      </c>
      <c r="E549" s="66" t="n">
        <v>1</v>
      </c>
      <c r="G549" s="68" t="n">
        <v>0.02</v>
      </c>
      <c r="H549" s="65" t="inlineStr">
        <is>
          <t>Cash</t>
        </is>
      </c>
      <c r="I549" s="65" t="inlineStr">
        <is>
          <t>Delivered</t>
        </is>
      </c>
    </row>
    <row r="550">
      <c r="A550" s="64" t="n">
        <v>46218</v>
      </c>
      <c r="B550" s="65" t="inlineStr">
        <is>
          <t>INV-0276</t>
        </is>
      </c>
      <c r="C550" s="65" t="inlineStr">
        <is>
          <t>Walk-in Customer</t>
        </is>
      </c>
      <c r="D550" s="65" t="inlineStr">
        <is>
          <t>Ceiling Fan 1200mm</t>
        </is>
      </c>
      <c r="E550" s="66" t="n">
        <v>1</v>
      </c>
      <c r="G550" s="68" t="n">
        <v>0.05</v>
      </c>
      <c r="H550" s="65" t="inlineStr">
        <is>
          <t>Cash</t>
        </is>
      </c>
      <c r="I550" s="65" t="inlineStr">
        <is>
          <t>Delivered</t>
        </is>
      </c>
    </row>
    <row r="551">
      <c r="A551" s="64" t="n">
        <v>46219</v>
      </c>
      <c r="B551" s="65" t="inlineStr">
        <is>
          <t>INV-0277</t>
        </is>
      </c>
      <c r="C551" s="65" t="inlineStr">
        <is>
          <t>Mehta Constructions</t>
        </is>
      </c>
      <c r="D551" s="65" t="inlineStr">
        <is>
          <t>Tea Premium 1kg</t>
        </is>
      </c>
      <c r="E551" s="66" t="n">
        <v>3</v>
      </c>
      <c r="H551" s="65" t="inlineStr">
        <is>
          <t>UPI</t>
        </is>
      </c>
      <c r="I551" s="65" t="inlineStr">
        <is>
          <t>Delivered</t>
        </is>
      </c>
    </row>
    <row r="552">
      <c r="A552" s="64" t="n">
        <v>46219</v>
      </c>
      <c r="B552" s="65" t="inlineStr">
        <is>
          <t>INV-0277</t>
        </is>
      </c>
      <c r="C552" s="65" t="inlineStr">
        <is>
          <t>Mehta Constructions</t>
        </is>
      </c>
      <c r="D552" s="65" t="inlineStr">
        <is>
          <t>Copper Wire 90m</t>
        </is>
      </c>
      <c r="E552" s="66" t="n">
        <v>1</v>
      </c>
      <c r="G552" s="68" t="n">
        <v>0.02</v>
      </c>
      <c r="H552" s="65" t="inlineStr">
        <is>
          <t>UPI</t>
        </is>
      </c>
      <c r="I552" s="65" t="inlineStr">
        <is>
          <t>Delivered</t>
        </is>
      </c>
    </row>
    <row r="553">
      <c r="A553" s="64" t="n">
        <v>46219</v>
      </c>
      <c r="B553" s="65" t="inlineStr">
        <is>
          <t>INV-0278</t>
        </is>
      </c>
      <c r="C553" s="65" t="inlineStr">
        <is>
          <t>FMCG Distributors</t>
        </is>
      </c>
      <c r="D553" s="65" t="inlineStr">
        <is>
          <t>LED Bulb 9W</t>
        </is>
      </c>
      <c r="E553" s="66" t="n">
        <v>15</v>
      </c>
      <c r="H553" s="65" t="inlineStr">
        <is>
          <t>Bank</t>
        </is>
      </c>
      <c r="I553" s="65" t="inlineStr">
        <is>
          <t>Delivered</t>
        </is>
      </c>
    </row>
    <row r="554">
      <c r="A554" s="64" t="n">
        <v>46219</v>
      </c>
      <c r="B554" s="65" t="inlineStr">
        <is>
          <t>INV-0278</t>
        </is>
      </c>
      <c r="C554" s="65" t="inlineStr">
        <is>
          <t>FMCG Distributors</t>
        </is>
      </c>
      <c r="D554" s="65" t="inlineStr">
        <is>
          <t>Cement 50kg</t>
        </is>
      </c>
      <c r="E554" s="66" t="n">
        <v>11</v>
      </c>
      <c r="H554" s="65" t="inlineStr">
        <is>
          <t>Bank</t>
        </is>
      </c>
      <c r="I554" s="65" t="inlineStr">
        <is>
          <t>Delivered</t>
        </is>
      </c>
    </row>
    <row r="555">
      <c r="A555" s="64" t="n">
        <v>46219</v>
      </c>
      <c r="B555" s="65" t="inlineStr">
        <is>
          <t>INV-0279</t>
        </is>
      </c>
      <c r="C555" s="65" t="inlineStr">
        <is>
          <t>Gupta Electricals</t>
        </is>
      </c>
      <c r="D555" s="65" t="inlineStr">
        <is>
          <t>Ceiling Fan 1200mm</t>
        </is>
      </c>
      <c r="E555" s="66" t="n">
        <v>1</v>
      </c>
      <c r="G555" s="68" t="n">
        <v>0.05</v>
      </c>
      <c r="H555" s="65" t="inlineStr">
        <is>
          <t>Bank</t>
        </is>
      </c>
      <c r="I555" s="65" t="inlineStr">
        <is>
          <t>Delivered</t>
        </is>
      </c>
    </row>
    <row r="556">
      <c r="A556" s="64" t="n">
        <v>46219</v>
      </c>
      <c r="B556" s="65" t="inlineStr">
        <is>
          <t>INV-0279</t>
        </is>
      </c>
      <c r="C556" s="65" t="inlineStr">
        <is>
          <t>Gupta Electricals</t>
        </is>
      </c>
      <c r="D556" s="65" t="inlineStr">
        <is>
          <t>LED Bulb 9W</t>
        </is>
      </c>
      <c r="E556" s="66" t="n">
        <v>7</v>
      </c>
      <c r="H556" s="65" t="inlineStr">
        <is>
          <t>Bank</t>
        </is>
      </c>
      <c r="I556" s="65" t="inlineStr">
        <is>
          <t>Delivered</t>
        </is>
      </c>
    </row>
    <row r="557">
      <c r="A557" s="64" t="n">
        <v>46220</v>
      </c>
      <c r="B557" s="65" t="inlineStr">
        <is>
          <t>INV-0280</t>
        </is>
      </c>
      <c r="C557" s="65" t="inlineStr">
        <is>
          <t>Gupta Electricals</t>
        </is>
      </c>
      <c r="D557" s="65" t="inlineStr">
        <is>
          <t>Toothpaste 150g x12</t>
        </is>
      </c>
      <c r="E557" s="66" t="n">
        <v>1</v>
      </c>
      <c r="I557" s="65" t="inlineStr">
        <is>
          <t>Delivered</t>
        </is>
      </c>
    </row>
    <row r="558">
      <c r="A558" s="64" t="n">
        <v>46220</v>
      </c>
      <c r="B558" s="65" t="inlineStr">
        <is>
          <t>INV-0280</t>
        </is>
      </c>
      <c r="C558" s="65" t="inlineStr">
        <is>
          <t>Gupta Electricals</t>
        </is>
      </c>
      <c r="D558" s="65" t="inlineStr">
        <is>
          <t>Tea Premium 1kg</t>
        </is>
      </c>
      <c r="E558" s="66" t="n">
        <v>1</v>
      </c>
      <c r="I558" s="65" t="inlineStr">
        <is>
          <t>Delivered</t>
        </is>
      </c>
    </row>
    <row r="559">
      <c r="A559" s="64" t="n">
        <v>46220</v>
      </c>
      <c r="B559" s="65" t="inlineStr">
        <is>
          <t>INV-0281</t>
        </is>
      </c>
      <c r="C559" s="65" t="inlineStr">
        <is>
          <t>Mehta Constructions</t>
        </is>
      </c>
      <c r="D559" s="65" t="inlineStr">
        <is>
          <t>Ceiling Fan 1200mm</t>
        </is>
      </c>
      <c r="E559" s="66" t="n">
        <v>1</v>
      </c>
      <c r="I559" s="65" t="inlineStr">
        <is>
          <t>Delivered</t>
        </is>
      </c>
    </row>
    <row r="560">
      <c r="A560" s="64" t="n">
        <v>46220</v>
      </c>
      <c r="B560" s="65" t="inlineStr">
        <is>
          <t>INV-0282</t>
        </is>
      </c>
      <c r="C560" s="65" t="inlineStr">
        <is>
          <t>Mehta Constructions</t>
        </is>
      </c>
      <c r="D560" s="65" t="inlineStr">
        <is>
          <t>Detergent 5kg</t>
        </is>
      </c>
      <c r="E560" s="66" t="n">
        <v>3</v>
      </c>
      <c r="G560" s="68" t="n">
        <v>0.02</v>
      </c>
      <c r="I560" s="65" t="inlineStr">
        <is>
          <t>Delivered</t>
        </is>
      </c>
    </row>
    <row r="561">
      <c r="A561" s="64" t="n">
        <v>46220</v>
      </c>
      <c r="B561" s="65" t="inlineStr">
        <is>
          <t>INV-0282</t>
        </is>
      </c>
      <c r="C561" s="65" t="inlineStr">
        <is>
          <t>Mehta Constructions</t>
        </is>
      </c>
      <c r="D561" s="65" t="inlineStr">
        <is>
          <t>Toothpaste 150g x12</t>
        </is>
      </c>
      <c r="E561" s="66" t="n">
        <v>2</v>
      </c>
      <c r="I561" s="65" t="inlineStr">
        <is>
          <t>Delivered</t>
        </is>
      </c>
    </row>
    <row r="562">
      <c r="A562" s="64" t="n">
        <v>46220</v>
      </c>
      <c r="B562" s="65" t="inlineStr">
        <is>
          <t>INV-0282</t>
        </is>
      </c>
      <c r="C562" s="65" t="inlineStr">
        <is>
          <t>Mehta Constructions</t>
        </is>
      </c>
      <c r="D562" s="65" t="inlineStr">
        <is>
          <t>LED Bulb 9W</t>
        </is>
      </c>
      <c r="E562" s="66" t="n">
        <v>23</v>
      </c>
      <c r="I562" s="65" t="inlineStr">
        <is>
          <t>Delivered</t>
        </is>
      </c>
    </row>
    <row r="563">
      <c r="A563" s="64" t="n">
        <v>46220</v>
      </c>
      <c r="B563" s="65" t="inlineStr">
        <is>
          <t>INV-0283</t>
        </is>
      </c>
      <c r="C563" s="65" t="inlineStr">
        <is>
          <t>Sharma Kirana Store</t>
        </is>
      </c>
      <c r="D563" s="65" t="inlineStr">
        <is>
          <t>LED Bulb 9W</t>
        </is>
      </c>
      <c r="E563" s="66" t="n">
        <v>18</v>
      </c>
      <c r="G563" s="68" t="n">
        <v>0.02</v>
      </c>
      <c r="I563" s="65" t="inlineStr">
        <is>
          <t>Delivered</t>
        </is>
      </c>
    </row>
    <row r="564">
      <c r="A564" s="64" t="n">
        <v>46220</v>
      </c>
      <c r="B564" s="65" t="inlineStr">
        <is>
          <t>INV-0283</t>
        </is>
      </c>
      <c r="C564" s="65" t="inlineStr">
        <is>
          <t>Sharma Kirana Store</t>
        </is>
      </c>
      <c r="D564" s="65" t="inlineStr">
        <is>
          <t>Basmati Rice 25kg</t>
        </is>
      </c>
      <c r="E564" s="66" t="n">
        <v>1</v>
      </c>
      <c r="G564" s="68" t="n">
        <v>0.02</v>
      </c>
      <c r="I564" s="65" t="inlineStr">
        <is>
          <t>Delivered</t>
        </is>
      </c>
    </row>
    <row r="565">
      <c r="A565" s="64" t="n">
        <v>46221</v>
      </c>
      <c r="B565" s="65" t="inlineStr">
        <is>
          <t>INV-0284</t>
        </is>
      </c>
      <c r="C565" s="65" t="inlineStr">
        <is>
          <t>Gupta Electricals</t>
        </is>
      </c>
      <c r="D565" s="65" t="inlineStr">
        <is>
          <t>Sugar 50kg</t>
        </is>
      </c>
      <c r="E565" s="66" t="n">
        <v>1</v>
      </c>
      <c r="I565" s="65" t="inlineStr">
        <is>
          <t>Delivered</t>
        </is>
      </c>
    </row>
    <row r="566">
      <c r="A566" s="64" t="n">
        <v>46221</v>
      </c>
      <c r="B566" s="65" t="inlineStr">
        <is>
          <t>INV-0284</t>
        </is>
      </c>
      <c r="C566" s="65" t="inlineStr">
        <is>
          <t>Gupta Electricals</t>
        </is>
      </c>
      <c r="D566" s="65" t="inlineStr">
        <is>
          <t>Detergent 5kg</t>
        </is>
      </c>
      <c r="E566" s="66" t="n">
        <v>2</v>
      </c>
      <c r="I566" s="65" t="inlineStr">
        <is>
          <t>Delivered</t>
        </is>
      </c>
    </row>
    <row r="567">
      <c r="A567" s="64" t="n">
        <v>46221</v>
      </c>
      <c r="B567" s="65" t="inlineStr">
        <is>
          <t>INV-0285</t>
        </is>
      </c>
      <c r="C567" s="65" t="inlineStr">
        <is>
          <t>Walk-in Customer</t>
        </is>
      </c>
      <c r="D567" s="65" t="inlineStr">
        <is>
          <t>Cement 50kg</t>
        </is>
      </c>
      <c r="E567" s="66" t="n">
        <v>4</v>
      </c>
      <c r="H567" s="65" t="inlineStr">
        <is>
          <t>Cash</t>
        </is>
      </c>
      <c r="I567" s="65" t="inlineStr">
        <is>
          <t>Delivered</t>
        </is>
      </c>
    </row>
    <row r="568">
      <c r="A568" s="64" t="n">
        <v>46221</v>
      </c>
      <c r="B568" s="65" t="inlineStr">
        <is>
          <t>INV-0286</t>
        </is>
      </c>
      <c r="C568" s="65" t="inlineStr">
        <is>
          <t>Mehta Constructions</t>
        </is>
      </c>
      <c r="D568" s="65" t="inlineStr">
        <is>
          <t>Ceiling Fan 1200mm</t>
        </is>
      </c>
      <c r="E568" s="66" t="n">
        <v>1</v>
      </c>
      <c r="I568" s="65" t="inlineStr">
        <is>
          <t>Delivered</t>
        </is>
      </c>
    </row>
    <row r="569">
      <c r="A569" s="64" t="n">
        <v>46221</v>
      </c>
      <c r="B569" s="65" t="inlineStr">
        <is>
          <t>INV-0286</t>
        </is>
      </c>
      <c r="C569" s="65" t="inlineStr">
        <is>
          <t>Mehta Constructions</t>
        </is>
      </c>
      <c r="D569" s="65" t="inlineStr">
        <is>
          <t>Basmati Rice 25kg</t>
        </is>
      </c>
      <c r="E569" s="66" t="n">
        <v>1</v>
      </c>
      <c r="I569" s="65" t="inlineStr">
        <is>
          <t>Delivered</t>
        </is>
      </c>
    </row>
    <row r="570">
      <c r="A570" s="64" t="n">
        <v>46221</v>
      </c>
      <c r="B570" s="65" t="inlineStr">
        <is>
          <t>INV-0286</t>
        </is>
      </c>
      <c r="C570" s="65" t="inlineStr">
        <is>
          <t>Mehta Constructions</t>
        </is>
      </c>
      <c r="D570" s="65" t="inlineStr">
        <is>
          <t>PVC Pipe 1in 6m</t>
        </is>
      </c>
      <c r="E570" s="66" t="n">
        <v>6</v>
      </c>
      <c r="G570" s="68" t="n">
        <v>0.05</v>
      </c>
      <c r="I570" s="65" t="inlineStr">
        <is>
          <t>Delivered</t>
        </is>
      </c>
    </row>
    <row r="571">
      <c r="A571" s="64" t="n">
        <v>46223</v>
      </c>
      <c r="B571" s="65" t="inlineStr">
        <is>
          <t>INV-0287</t>
        </is>
      </c>
      <c r="C571" s="65" t="inlineStr">
        <is>
          <t>Walk-in Customer</t>
        </is>
      </c>
      <c r="D571" s="65" t="inlineStr">
        <is>
          <t>Basmati Rice 25kg</t>
        </is>
      </c>
      <c r="E571" s="66" t="n">
        <v>2</v>
      </c>
      <c r="H571" s="65" t="inlineStr">
        <is>
          <t>Cash</t>
        </is>
      </c>
      <c r="I571" s="65" t="inlineStr">
        <is>
          <t>Delivered</t>
        </is>
      </c>
    </row>
    <row r="572">
      <c r="A572" s="64" t="n">
        <v>46223</v>
      </c>
      <c r="B572" s="65" t="inlineStr">
        <is>
          <t>INV-0287</t>
        </is>
      </c>
      <c r="C572" s="65" t="inlineStr">
        <is>
          <t>Walk-in Customer</t>
        </is>
      </c>
      <c r="D572" s="65" t="inlineStr">
        <is>
          <t>Sugar 50kg</t>
        </is>
      </c>
      <c r="E572" s="66" t="n">
        <v>1</v>
      </c>
      <c r="G572" s="68" t="n">
        <v>0.05</v>
      </c>
      <c r="H572" s="65" t="inlineStr">
        <is>
          <t>Cash</t>
        </is>
      </c>
      <c r="I572" s="65" t="inlineStr">
        <is>
          <t>Delivered</t>
        </is>
      </c>
    </row>
    <row r="573">
      <c r="A573" s="64" t="n">
        <v>46223</v>
      </c>
      <c r="B573" s="65" t="inlineStr">
        <is>
          <t>INV-0288</t>
        </is>
      </c>
      <c r="C573" s="65" t="inlineStr">
        <is>
          <t>Sharma Kirana Store</t>
        </is>
      </c>
      <c r="D573" s="65" t="inlineStr">
        <is>
          <t>Basmati Rice 25kg</t>
        </is>
      </c>
      <c r="E573" s="66" t="n">
        <v>2</v>
      </c>
      <c r="I573" s="65" t="inlineStr">
        <is>
          <t>Delivered</t>
        </is>
      </c>
    </row>
    <row r="574">
      <c r="A574" s="64" t="n">
        <v>46223</v>
      </c>
      <c r="B574" s="65" t="inlineStr">
        <is>
          <t>INV-0289</t>
        </is>
      </c>
      <c r="C574" s="65" t="inlineStr">
        <is>
          <t>FMCG Distributors</t>
        </is>
      </c>
      <c r="D574" s="65" t="inlineStr">
        <is>
          <t>Ceiling Fan 1200mm</t>
        </is>
      </c>
      <c r="E574" s="66" t="n">
        <v>1</v>
      </c>
      <c r="I574" s="65" t="inlineStr">
        <is>
          <t>Delivered</t>
        </is>
      </c>
    </row>
    <row r="575">
      <c r="A575" s="64" t="n">
        <v>46223</v>
      </c>
      <c r="B575" s="65" t="inlineStr">
        <is>
          <t>INV-0289</t>
        </is>
      </c>
      <c r="C575" s="65" t="inlineStr">
        <is>
          <t>FMCG Distributors</t>
        </is>
      </c>
      <c r="D575" s="65" t="inlineStr">
        <is>
          <t>LED Bulb 9W</t>
        </is>
      </c>
      <c r="E575" s="66" t="n">
        <v>15</v>
      </c>
      <c r="I575" s="65" t="inlineStr">
        <is>
          <t>Delivered</t>
        </is>
      </c>
    </row>
    <row r="576">
      <c r="A576" s="64" t="n">
        <v>46223</v>
      </c>
      <c r="B576" s="65" t="inlineStr">
        <is>
          <t>INV-0289</t>
        </is>
      </c>
      <c r="C576" s="65" t="inlineStr">
        <is>
          <t>FMCG Distributors</t>
        </is>
      </c>
      <c r="D576" s="65" t="inlineStr">
        <is>
          <t>Cement 50kg</t>
        </is>
      </c>
      <c r="E576" s="66" t="n">
        <v>11</v>
      </c>
      <c r="G576" s="68" t="n">
        <v>0.02</v>
      </c>
      <c r="I576" s="65" t="inlineStr">
        <is>
          <t>Delivered</t>
        </is>
      </c>
    </row>
    <row r="577">
      <c r="A577" s="64" t="n">
        <v>46224</v>
      </c>
      <c r="B577" s="65" t="inlineStr">
        <is>
          <t>INV-0290</t>
        </is>
      </c>
      <c r="C577" s="65" t="inlineStr">
        <is>
          <t>FMCG Distributors</t>
        </is>
      </c>
      <c r="D577" s="65" t="inlineStr">
        <is>
          <t>PVC Pipe 1in 6m</t>
        </is>
      </c>
      <c r="E577" s="66" t="n">
        <v>5</v>
      </c>
      <c r="G577" s="68" t="n">
        <v>0.05</v>
      </c>
      <c r="H577" s="65" t="inlineStr">
        <is>
          <t>Bank</t>
        </is>
      </c>
      <c r="I577" s="65" t="inlineStr">
        <is>
          <t>Delivered</t>
        </is>
      </c>
    </row>
    <row r="578">
      <c r="A578" s="64" t="n">
        <v>46224</v>
      </c>
      <c r="B578" s="65" t="inlineStr">
        <is>
          <t>INV-0290</t>
        </is>
      </c>
      <c r="C578" s="65" t="inlineStr">
        <is>
          <t>FMCG Distributors</t>
        </is>
      </c>
      <c r="D578" s="65" t="inlineStr">
        <is>
          <t>Basmati Rice 25kg</t>
        </is>
      </c>
      <c r="E578" s="66" t="n">
        <v>2</v>
      </c>
      <c r="H578" s="65" t="inlineStr">
        <is>
          <t>Bank</t>
        </is>
      </c>
      <c r="I578" s="65" t="inlineStr">
        <is>
          <t>Delivered</t>
        </is>
      </c>
    </row>
    <row r="579">
      <c r="A579" s="64" t="n">
        <v>46224</v>
      </c>
      <c r="B579" s="65" t="inlineStr">
        <is>
          <t>INV-0290</t>
        </is>
      </c>
      <c r="C579" s="65" t="inlineStr">
        <is>
          <t>FMCG Distributors</t>
        </is>
      </c>
      <c r="D579" s="65" t="inlineStr">
        <is>
          <t>Tea Premium 1kg</t>
        </is>
      </c>
      <c r="E579" s="66" t="n">
        <v>2</v>
      </c>
      <c r="H579" s="65" t="inlineStr">
        <is>
          <t>Bank</t>
        </is>
      </c>
      <c r="I579" s="65" t="inlineStr">
        <is>
          <t>Delivered</t>
        </is>
      </c>
    </row>
    <row r="580">
      <c r="A580" s="64" t="n">
        <v>46224</v>
      </c>
      <c r="B580" s="65" t="inlineStr">
        <is>
          <t>INV-0291</t>
        </is>
      </c>
      <c r="C580" s="65" t="inlineStr">
        <is>
          <t>Sharma Kirana Store</t>
        </is>
      </c>
      <c r="D580" s="65" t="inlineStr">
        <is>
          <t>Refined Oil 15L</t>
        </is>
      </c>
      <c r="E580" s="66" t="n">
        <v>1</v>
      </c>
      <c r="H580" s="65" t="inlineStr">
        <is>
          <t>Bank</t>
        </is>
      </c>
      <c r="I580" s="65" t="inlineStr">
        <is>
          <t>Delivered</t>
        </is>
      </c>
    </row>
    <row r="581">
      <c r="A581" s="64" t="n">
        <v>46224</v>
      </c>
      <c r="B581" s="65" t="inlineStr">
        <is>
          <t>INV-0291</t>
        </is>
      </c>
      <c r="C581" s="65" t="inlineStr">
        <is>
          <t>Sharma Kirana Store</t>
        </is>
      </c>
      <c r="D581" s="65" t="inlineStr">
        <is>
          <t>PVC Pipe 1in 6m</t>
        </is>
      </c>
      <c r="E581" s="66" t="n">
        <v>6</v>
      </c>
      <c r="H581" s="65" t="inlineStr">
        <is>
          <t>Bank</t>
        </is>
      </c>
      <c r="I581" s="65" t="inlineStr">
        <is>
          <t>Delivered</t>
        </is>
      </c>
    </row>
    <row r="582">
      <c r="A582" s="64" t="n">
        <v>46224</v>
      </c>
      <c r="B582" s="65" t="inlineStr">
        <is>
          <t>INV-0292</t>
        </is>
      </c>
      <c r="C582" s="65" t="inlineStr">
        <is>
          <t>Sharma Kirana Store</t>
        </is>
      </c>
      <c r="D582" s="65" t="inlineStr">
        <is>
          <t>Toothpaste 150g x12</t>
        </is>
      </c>
      <c r="E582" s="66" t="n">
        <v>1</v>
      </c>
      <c r="I582" s="65" t="inlineStr">
        <is>
          <t>Delivered</t>
        </is>
      </c>
    </row>
    <row r="583">
      <c r="A583" s="64" t="n">
        <v>46224</v>
      </c>
      <c r="B583" s="65" t="inlineStr">
        <is>
          <t>INV-0292</t>
        </is>
      </c>
      <c r="C583" s="65" t="inlineStr">
        <is>
          <t>Sharma Kirana Store</t>
        </is>
      </c>
      <c r="D583" s="65" t="inlineStr">
        <is>
          <t>LED Bulb 9W</t>
        </is>
      </c>
      <c r="E583" s="66" t="n">
        <v>7</v>
      </c>
      <c r="G583" s="68" t="n">
        <v>0.02</v>
      </c>
      <c r="I583" s="65" t="inlineStr">
        <is>
          <t>Delivered</t>
        </is>
      </c>
    </row>
    <row r="584">
      <c r="A584" s="64" t="n">
        <v>46224</v>
      </c>
      <c r="B584" s="65" t="inlineStr">
        <is>
          <t>INV-0293</t>
        </is>
      </c>
      <c r="C584" s="65" t="inlineStr">
        <is>
          <t>Walk-in Customer</t>
        </is>
      </c>
      <c r="D584" s="65" t="inlineStr">
        <is>
          <t>Ceiling Fan 1200mm</t>
        </is>
      </c>
      <c r="E584" s="66" t="n">
        <v>1</v>
      </c>
      <c r="G584" s="68" t="n">
        <v>0.02</v>
      </c>
      <c r="H584" s="65" t="inlineStr">
        <is>
          <t>Cash</t>
        </is>
      </c>
      <c r="I584" s="65" t="inlineStr">
        <is>
          <t>Delivered</t>
        </is>
      </c>
    </row>
    <row r="585">
      <c r="A585" s="64" t="n">
        <v>46224</v>
      </c>
      <c r="B585" s="65" t="inlineStr">
        <is>
          <t>INV-0293</t>
        </is>
      </c>
      <c r="C585" s="65" t="inlineStr">
        <is>
          <t>Walk-in Customer</t>
        </is>
      </c>
      <c r="D585" s="65" t="inlineStr">
        <is>
          <t>Tea Premium 1kg</t>
        </is>
      </c>
      <c r="E585" s="66" t="n">
        <v>1</v>
      </c>
      <c r="H585" s="65" t="inlineStr">
        <is>
          <t>Cash</t>
        </is>
      </c>
      <c r="I585" s="65" t="inlineStr">
        <is>
          <t>Delivered</t>
        </is>
      </c>
    </row>
    <row r="586">
      <c r="A586" s="64" t="n">
        <v>46225</v>
      </c>
      <c r="B586" s="65" t="inlineStr">
        <is>
          <t>INV-0294</t>
        </is>
      </c>
      <c r="C586" s="65" t="inlineStr">
        <is>
          <t>Delhi Hardware Mart</t>
        </is>
      </c>
      <c r="D586" s="65" t="inlineStr">
        <is>
          <t>Toothpaste 150g x12</t>
        </is>
      </c>
      <c r="E586" s="66" t="n">
        <v>2</v>
      </c>
      <c r="G586" s="68" t="n">
        <v>0.05</v>
      </c>
      <c r="I586" s="65" t="inlineStr">
        <is>
          <t>Delivered</t>
        </is>
      </c>
    </row>
    <row r="587">
      <c r="A587" s="64" t="n">
        <v>46225</v>
      </c>
      <c r="B587" s="65" t="inlineStr">
        <is>
          <t>INV-0295</t>
        </is>
      </c>
      <c r="C587" s="65" t="inlineStr">
        <is>
          <t>Walk-in Customer</t>
        </is>
      </c>
      <c r="D587" s="65" t="inlineStr">
        <is>
          <t>Ceiling Fan 1200mm</t>
        </is>
      </c>
      <c r="E587" s="66" t="n">
        <v>1</v>
      </c>
      <c r="G587" s="68" t="n">
        <v>0.02</v>
      </c>
      <c r="H587" s="65" t="inlineStr">
        <is>
          <t>Cash</t>
        </is>
      </c>
      <c r="I587" s="65" t="inlineStr">
        <is>
          <t>Delivered</t>
        </is>
      </c>
    </row>
    <row r="588">
      <c r="A588" s="64" t="n">
        <v>46225</v>
      </c>
      <c r="B588" s="65" t="inlineStr">
        <is>
          <t>INV-0296</t>
        </is>
      </c>
      <c r="C588" s="65" t="inlineStr">
        <is>
          <t>Walk-in Customer</t>
        </is>
      </c>
      <c r="D588" s="65" t="inlineStr">
        <is>
          <t>Sugar 50kg</t>
        </is>
      </c>
      <c r="E588" s="66" t="n">
        <v>1</v>
      </c>
      <c r="G588" s="68" t="n">
        <v>0.02</v>
      </c>
      <c r="H588" s="65" t="inlineStr">
        <is>
          <t>Cash</t>
        </is>
      </c>
      <c r="I588" s="65" t="inlineStr">
        <is>
          <t>Delivered</t>
        </is>
      </c>
    </row>
    <row r="589">
      <c r="A589" s="64" t="n">
        <v>46225</v>
      </c>
      <c r="B589" s="65" t="inlineStr">
        <is>
          <t>INV-0296</t>
        </is>
      </c>
      <c r="C589" s="65" t="inlineStr">
        <is>
          <t>Walk-in Customer</t>
        </is>
      </c>
      <c r="D589" s="65" t="inlineStr">
        <is>
          <t>Detergent 5kg</t>
        </is>
      </c>
      <c r="E589" s="66" t="n">
        <v>1</v>
      </c>
      <c r="H589" s="65" t="inlineStr">
        <is>
          <t>Cash</t>
        </is>
      </c>
      <c r="I589" s="65" t="inlineStr">
        <is>
          <t>Delivered</t>
        </is>
      </c>
    </row>
    <row r="590">
      <c r="A590" s="64" t="n">
        <v>46226</v>
      </c>
      <c r="B590" s="65" t="inlineStr">
        <is>
          <t>INV-0297</t>
        </is>
      </c>
      <c r="C590" s="65" t="inlineStr">
        <is>
          <t>Mehta Constructions</t>
        </is>
      </c>
      <c r="D590" s="65" t="inlineStr">
        <is>
          <t>Ceiling Fan 1200mm</t>
        </is>
      </c>
      <c r="E590" s="66" t="n">
        <v>1</v>
      </c>
      <c r="I590" s="65" t="inlineStr">
        <is>
          <t>Delivered</t>
        </is>
      </c>
    </row>
    <row r="591">
      <c r="A591" s="64" t="n">
        <v>46226</v>
      </c>
      <c r="B591" s="65" t="inlineStr">
        <is>
          <t>INV-0298</t>
        </is>
      </c>
      <c r="C591" s="65" t="inlineStr">
        <is>
          <t>Delhi Hardware Mart</t>
        </is>
      </c>
      <c r="D591" s="65" t="inlineStr">
        <is>
          <t>Copper Wire 90m</t>
        </is>
      </c>
      <c r="E591" s="66" t="n">
        <v>1</v>
      </c>
      <c r="G591" s="68" t="n">
        <v>0.05</v>
      </c>
      <c r="I591" s="65" t="inlineStr">
        <is>
          <t>Delivered</t>
        </is>
      </c>
    </row>
    <row r="592">
      <c r="A592" s="64" t="n">
        <v>46226</v>
      </c>
      <c r="B592" s="65" t="inlineStr">
        <is>
          <t>INV-0298</t>
        </is>
      </c>
      <c r="C592" s="65" t="inlineStr">
        <is>
          <t>Delhi Hardware Mart</t>
        </is>
      </c>
      <c r="D592" s="65" t="inlineStr">
        <is>
          <t>Cement 50kg</t>
        </is>
      </c>
      <c r="E592" s="66" t="n">
        <v>3</v>
      </c>
      <c r="I592" s="65" t="inlineStr">
        <is>
          <t>Delivered</t>
        </is>
      </c>
    </row>
    <row r="593">
      <c r="A593" s="64" t="n">
        <v>46226</v>
      </c>
      <c r="B593" s="65" t="inlineStr">
        <is>
          <t>INV-0298</t>
        </is>
      </c>
      <c r="C593" s="65" t="inlineStr">
        <is>
          <t>Delhi Hardware Mart</t>
        </is>
      </c>
      <c r="D593" s="65" t="inlineStr">
        <is>
          <t>Toothpaste 150g x12</t>
        </is>
      </c>
      <c r="E593" s="66" t="n">
        <v>1</v>
      </c>
      <c r="G593" s="68" t="n">
        <v>0.02</v>
      </c>
      <c r="I593" s="65" t="inlineStr">
        <is>
          <t>Delivered</t>
        </is>
      </c>
    </row>
    <row r="594">
      <c r="A594" s="64" t="n">
        <v>46226</v>
      </c>
      <c r="B594" s="65" t="inlineStr">
        <is>
          <t>INV-0299</t>
        </is>
      </c>
      <c r="C594" s="65" t="inlineStr">
        <is>
          <t>Gupta Electricals</t>
        </is>
      </c>
      <c r="D594" s="65" t="inlineStr">
        <is>
          <t>Sugar 50kg</t>
        </is>
      </c>
      <c r="E594" s="66" t="n">
        <v>1</v>
      </c>
      <c r="G594" s="68" t="n">
        <v>0.02</v>
      </c>
      <c r="I594" s="65" t="inlineStr">
        <is>
          <t>Delivered</t>
        </is>
      </c>
    </row>
    <row r="595">
      <c r="A595" s="64" t="n">
        <v>46227</v>
      </c>
      <c r="B595" s="65" t="inlineStr">
        <is>
          <t>INV-0300</t>
        </is>
      </c>
      <c r="C595" s="65" t="inlineStr">
        <is>
          <t>Walk-in Customer</t>
        </is>
      </c>
      <c r="D595" s="65" t="inlineStr">
        <is>
          <t>Basmati Rice 25kg</t>
        </is>
      </c>
      <c r="E595" s="66" t="n">
        <v>2</v>
      </c>
      <c r="H595" s="65" t="inlineStr">
        <is>
          <t>Cash</t>
        </is>
      </c>
      <c r="I595" s="65" t="inlineStr">
        <is>
          <t>Delivered</t>
        </is>
      </c>
    </row>
    <row r="596">
      <c r="A596" s="64" t="n">
        <v>46227</v>
      </c>
      <c r="B596" s="65" t="inlineStr">
        <is>
          <t>INV-0300</t>
        </is>
      </c>
      <c r="C596" s="65" t="inlineStr">
        <is>
          <t>Walk-in Customer</t>
        </is>
      </c>
      <c r="D596" s="65" t="inlineStr">
        <is>
          <t>Toothpaste 150g x12</t>
        </is>
      </c>
      <c r="E596" s="66" t="n">
        <v>1</v>
      </c>
      <c r="H596" s="65" t="inlineStr">
        <is>
          <t>Cash</t>
        </is>
      </c>
      <c r="I596" s="65" t="inlineStr">
        <is>
          <t>Delivered</t>
        </is>
      </c>
    </row>
    <row r="597">
      <c r="A597" s="64" t="n">
        <v>46227</v>
      </c>
      <c r="B597" s="65" t="inlineStr">
        <is>
          <t>INV-0301</t>
        </is>
      </c>
      <c r="C597" s="65" t="inlineStr">
        <is>
          <t>Walk-in Customer</t>
        </is>
      </c>
      <c r="D597" s="65" t="inlineStr">
        <is>
          <t>Refined Oil 15L</t>
        </is>
      </c>
      <c r="E597" s="66" t="n">
        <v>1</v>
      </c>
      <c r="H597" s="65" t="inlineStr">
        <is>
          <t>Cash</t>
        </is>
      </c>
      <c r="I597" s="65" t="inlineStr">
        <is>
          <t>Delivered</t>
        </is>
      </c>
    </row>
    <row r="598">
      <c r="A598" s="64" t="n">
        <v>46227</v>
      </c>
      <c r="B598" s="65" t="inlineStr">
        <is>
          <t>INV-0302</t>
        </is>
      </c>
      <c r="C598" s="65" t="inlineStr">
        <is>
          <t>Walk-in Customer</t>
        </is>
      </c>
      <c r="D598" s="65" t="inlineStr">
        <is>
          <t>Detergent 5kg</t>
        </is>
      </c>
      <c r="E598" s="66" t="n">
        <v>1</v>
      </c>
      <c r="G598" s="68" t="n">
        <v>0.05</v>
      </c>
      <c r="H598" s="65" t="inlineStr">
        <is>
          <t>Cash</t>
        </is>
      </c>
      <c r="I598" s="65" t="inlineStr">
        <is>
          <t>Delivered</t>
        </is>
      </c>
    </row>
    <row r="599">
      <c r="A599" s="64" t="n">
        <v>46227</v>
      </c>
      <c r="B599" s="65" t="inlineStr">
        <is>
          <t>INV-0302</t>
        </is>
      </c>
      <c r="C599" s="65" t="inlineStr">
        <is>
          <t>Walk-in Customer</t>
        </is>
      </c>
      <c r="D599" s="65" t="inlineStr">
        <is>
          <t>Toothpaste 150g x12</t>
        </is>
      </c>
      <c r="E599" s="66" t="n">
        <v>2</v>
      </c>
      <c r="H599" s="65" t="inlineStr">
        <is>
          <t>Cash</t>
        </is>
      </c>
      <c r="I599" s="65" t="inlineStr">
        <is>
          <t>Delivered</t>
        </is>
      </c>
    </row>
    <row r="600">
      <c r="A600" s="64" t="n">
        <v>46227</v>
      </c>
      <c r="B600" s="65" t="inlineStr">
        <is>
          <t>INV-0303</t>
        </is>
      </c>
      <c r="C600" s="65" t="inlineStr">
        <is>
          <t>Gupta Electricals</t>
        </is>
      </c>
      <c r="D600" s="65" t="inlineStr">
        <is>
          <t>LED Bulb 9W</t>
        </is>
      </c>
      <c r="E600" s="66" t="n">
        <v>17</v>
      </c>
      <c r="I600" s="65" t="inlineStr">
        <is>
          <t>Delivered</t>
        </is>
      </c>
    </row>
    <row r="601">
      <c r="A601" s="64" t="n">
        <v>46227</v>
      </c>
      <c r="B601" s="65" t="inlineStr">
        <is>
          <t>INV-0303</t>
        </is>
      </c>
      <c r="C601" s="65" t="inlineStr">
        <is>
          <t>Gupta Electricals</t>
        </is>
      </c>
      <c r="D601" s="65" t="inlineStr">
        <is>
          <t>Refined Oil 15L</t>
        </is>
      </c>
      <c r="E601" s="66" t="n">
        <v>1</v>
      </c>
      <c r="I601" s="65" t="inlineStr">
        <is>
          <t>Delivered</t>
        </is>
      </c>
    </row>
    <row r="602">
      <c r="A602" s="64" t="n">
        <v>46228</v>
      </c>
      <c r="B602" s="65" t="inlineStr">
        <is>
          <t>INV-0304</t>
        </is>
      </c>
      <c r="C602" s="65" t="inlineStr">
        <is>
          <t>FMCG Distributors</t>
        </is>
      </c>
      <c r="D602" s="65" t="inlineStr">
        <is>
          <t>Basmati Rice 25kg</t>
        </is>
      </c>
      <c r="E602" s="66" t="n">
        <v>1</v>
      </c>
      <c r="G602" s="68" t="n">
        <v>0.02</v>
      </c>
      <c r="I602" s="65" t="inlineStr">
        <is>
          <t>Delivered</t>
        </is>
      </c>
    </row>
    <row r="603">
      <c r="A603" s="64" t="n">
        <v>46228</v>
      </c>
      <c r="B603" s="65" t="inlineStr">
        <is>
          <t>INV-0304</t>
        </is>
      </c>
      <c r="C603" s="65" t="inlineStr">
        <is>
          <t>FMCG Distributors</t>
        </is>
      </c>
      <c r="D603" s="65" t="inlineStr">
        <is>
          <t>Ceiling Fan 1200mm</t>
        </is>
      </c>
      <c r="E603" s="66" t="n">
        <v>1</v>
      </c>
      <c r="I603" s="65" t="inlineStr">
        <is>
          <t>Delivered</t>
        </is>
      </c>
    </row>
    <row r="604">
      <c r="A604" s="64" t="n">
        <v>46228</v>
      </c>
      <c r="B604" s="65" t="inlineStr">
        <is>
          <t>INV-0305</t>
        </is>
      </c>
      <c r="C604" s="65" t="inlineStr">
        <is>
          <t>Walk-in Customer</t>
        </is>
      </c>
      <c r="D604" s="65" t="inlineStr">
        <is>
          <t>Copper Wire 90m</t>
        </is>
      </c>
      <c r="E604" s="66" t="n">
        <v>1</v>
      </c>
      <c r="H604" s="65" t="inlineStr">
        <is>
          <t>Cash</t>
        </is>
      </c>
      <c r="I604" s="65" t="inlineStr">
        <is>
          <t>Delivered</t>
        </is>
      </c>
    </row>
    <row r="605">
      <c r="A605" s="64" t="n">
        <v>46228</v>
      </c>
      <c r="B605" s="65" t="inlineStr">
        <is>
          <t>INV-0305</t>
        </is>
      </c>
      <c r="C605" s="65" t="inlineStr">
        <is>
          <t>Walk-in Customer</t>
        </is>
      </c>
      <c r="D605" s="65" t="inlineStr">
        <is>
          <t>Refined Oil 15L</t>
        </is>
      </c>
      <c r="E605" s="66" t="n">
        <v>1</v>
      </c>
      <c r="H605" s="65" t="inlineStr">
        <is>
          <t>Cash</t>
        </is>
      </c>
      <c r="I605" s="65" t="inlineStr">
        <is>
          <t>Delivered</t>
        </is>
      </c>
    </row>
    <row r="606">
      <c r="A606" s="64" t="n">
        <v>46228</v>
      </c>
      <c r="B606" s="65" t="inlineStr">
        <is>
          <t>INV-0305</t>
        </is>
      </c>
      <c r="C606" s="65" t="inlineStr">
        <is>
          <t>Walk-in Customer</t>
        </is>
      </c>
      <c r="D606" s="65" t="inlineStr">
        <is>
          <t>Detergent 5kg</t>
        </is>
      </c>
      <c r="E606" s="66" t="n">
        <v>1</v>
      </c>
      <c r="G606" s="68" t="n">
        <v>0.02</v>
      </c>
      <c r="H606" s="65" t="inlineStr">
        <is>
          <t>Cash</t>
        </is>
      </c>
      <c r="I606" s="65" t="inlineStr">
        <is>
          <t>Delivered</t>
        </is>
      </c>
    </row>
    <row r="607">
      <c r="A607" s="64" t="n">
        <v>46228</v>
      </c>
      <c r="B607" s="65" t="inlineStr">
        <is>
          <t>INV-0306</t>
        </is>
      </c>
      <c r="C607" s="65" t="inlineStr">
        <is>
          <t>Walk-in Customer</t>
        </is>
      </c>
      <c r="D607" s="65" t="inlineStr">
        <is>
          <t>Basmati Rice 25kg</t>
        </is>
      </c>
      <c r="E607" s="66" t="n">
        <v>2</v>
      </c>
      <c r="G607" s="68" t="n">
        <v>0.02</v>
      </c>
      <c r="H607" s="65" t="inlineStr">
        <is>
          <t>Cash</t>
        </is>
      </c>
      <c r="I607" s="65" t="inlineStr">
        <is>
          <t>Delivered</t>
        </is>
      </c>
    </row>
    <row r="608">
      <c r="A608" s="64" t="n">
        <v>46230</v>
      </c>
      <c r="B608" s="65" t="inlineStr">
        <is>
          <t>INV-0307</t>
        </is>
      </c>
      <c r="C608" s="65" t="inlineStr">
        <is>
          <t>Walk-in Customer</t>
        </is>
      </c>
      <c r="D608" s="65" t="inlineStr">
        <is>
          <t>Basmati Rice 25kg</t>
        </is>
      </c>
      <c r="E608" s="66" t="n">
        <v>2</v>
      </c>
      <c r="H608" s="65" t="inlineStr">
        <is>
          <t>Cash</t>
        </is>
      </c>
      <c r="I608" s="65" t="inlineStr">
        <is>
          <t>Delivered</t>
        </is>
      </c>
    </row>
    <row r="609">
      <c r="A609" s="64" t="n">
        <v>46230</v>
      </c>
      <c r="B609" s="65" t="inlineStr">
        <is>
          <t>INV-0307</t>
        </is>
      </c>
      <c r="C609" s="65" t="inlineStr">
        <is>
          <t>Walk-in Customer</t>
        </is>
      </c>
      <c r="D609" s="65" t="inlineStr">
        <is>
          <t>Copper Wire 90m</t>
        </is>
      </c>
      <c r="E609" s="66" t="n">
        <v>1</v>
      </c>
      <c r="G609" s="68" t="n">
        <v>0.02</v>
      </c>
      <c r="H609" s="65" t="inlineStr">
        <is>
          <t>Cash</t>
        </is>
      </c>
      <c r="I609" s="65" t="inlineStr">
        <is>
          <t>Delivered</t>
        </is>
      </c>
    </row>
    <row r="610">
      <c r="A610" s="64" t="n">
        <v>46230</v>
      </c>
      <c r="B610" s="65" t="inlineStr">
        <is>
          <t>INV-0308</t>
        </is>
      </c>
      <c r="C610" s="65" t="inlineStr">
        <is>
          <t>Gupta Electricals</t>
        </is>
      </c>
      <c r="D610" s="65" t="inlineStr">
        <is>
          <t>PVC Pipe 1in 6m</t>
        </is>
      </c>
      <c r="E610" s="66" t="n">
        <v>5</v>
      </c>
      <c r="G610" s="68" t="n">
        <v>0.05</v>
      </c>
      <c r="H610" s="65" t="inlineStr">
        <is>
          <t>Bank</t>
        </is>
      </c>
      <c r="I610" s="65" t="inlineStr">
        <is>
          <t>Delivered</t>
        </is>
      </c>
    </row>
    <row r="611">
      <c r="A611" s="64" t="n">
        <v>46230</v>
      </c>
      <c r="B611" s="65" t="inlineStr">
        <is>
          <t>INV-0308</t>
        </is>
      </c>
      <c r="C611" s="65" t="inlineStr">
        <is>
          <t>Gupta Electricals</t>
        </is>
      </c>
      <c r="D611" s="65" t="inlineStr">
        <is>
          <t>Copper Wire 90m</t>
        </is>
      </c>
      <c r="E611" s="66" t="n">
        <v>1</v>
      </c>
      <c r="H611" s="65" t="inlineStr">
        <is>
          <t>Bank</t>
        </is>
      </c>
      <c r="I611" s="65" t="inlineStr">
        <is>
          <t>Delivered</t>
        </is>
      </c>
    </row>
    <row r="612">
      <c r="A612" s="64" t="n">
        <v>46230</v>
      </c>
      <c r="B612" s="65" t="inlineStr">
        <is>
          <t>INV-0309</t>
        </is>
      </c>
      <c r="C612" s="65" t="inlineStr">
        <is>
          <t>Walk-in Customer</t>
        </is>
      </c>
      <c r="D612" s="65" t="inlineStr">
        <is>
          <t>Basmati Rice 25kg</t>
        </is>
      </c>
      <c r="E612" s="66" t="n">
        <v>1</v>
      </c>
      <c r="H612" s="65" t="inlineStr">
        <is>
          <t>Cash</t>
        </is>
      </c>
      <c r="I612" s="65" t="inlineStr">
        <is>
          <t>Delivered</t>
        </is>
      </c>
    </row>
    <row r="613">
      <c r="A613" s="64" t="n">
        <v>46231</v>
      </c>
      <c r="B613" s="65" t="inlineStr">
        <is>
          <t>INV-0310</t>
        </is>
      </c>
      <c r="C613" s="65" t="inlineStr">
        <is>
          <t>Walk-in Customer</t>
        </is>
      </c>
      <c r="D613" s="65" t="inlineStr">
        <is>
          <t>Copper Wire 90m</t>
        </is>
      </c>
      <c r="E613" s="66" t="n">
        <v>1</v>
      </c>
      <c r="H613" s="65" t="inlineStr">
        <is>
          <t>Cash</t>
        </is>
      </c>
      <c r="I613" s="65" t="inlineStr">
        <is>
          <t>Delivered</t>
        </is>
      </c>
    </row>
    <row r="614">
      <c r="A614" s="64" t="n">
        <v>46231</v>
      </c>
      <c r="B614" s="65" t="inlineStr">
        <is>
          <t>INV-0311</t>
        </is>
      </c>
      <c r="C614" s="65" t="inlineStr">
        <is>
          <t>FMCG Distributors</t>
        </is>
      </c>
      <c r="D614" s="65" t="inlineStr">
        <is>
          <t>Tea Premium 1kg</t>
        </is>
      </c>
      <c r="E614" s="66" t="n">
        <v>1</v>
      </c>
      <c r="G614" s="68" t="n">
        <v>0.02</v>
      </c>
      <c r="H614" s="65" t="inlineStr">
        <is>
          <t>Bank</t>
        </is>
      </c>
      <c r="I614" s="65" t="inlineStr">
        <is>
          <t>Delivered</t>
        </is>
      </c>
    </row>
    <row r="615">
      <c r="A615" s="64" t="n">
        <v>46231</v>
      </c>
      <c r="B615" s="65" t="inlineStr">
        <is>
          <t>INV-0312</t>
        </is>
      </c>
      <c r="C615" s="65" t="inlineStr">
        <is>
          <t>Gupta Electricals</t>
        </is>
      </c>
      <c r="D615" s="65" t="inlineStr">
        <is>
          <t>PVC Pipe 1in 6m</t>
        </is>
      </c>
      <c r="E615" s="66" t="n">
        <v>9</v>
      </c>
      <c r="I615" s="65" t="inlineStr">
        <is>
          <t>Delivered</t>
        </is>
      </c>
    </row>
    <row r="616">
      <c r="A616" s="64" t="n">
        <v>46231</v>
      </c>
      <c r="B616" s="65" t="inlineStr">
        <is>
          <t>INV-0312</t>
        </is>
      </c>
      <c r="C616" s="65" t="inlineStr">
        <is>
          <t>Gupta Electricals</t>
        </is>
      </c>
      <c r="D616" s="65" t="inlineStr">
        <is>
          <t>Cement 50kg</t>
        </is>
      </c>
      <c r="E616" s="66" t="n">
        <v>7</v>
      </c>
      <c r="G616" s="68" t="n">
        <v>0.05</v>
      </c>
      <c r="I616" s="65" t="inlineStr">
        <is>
          <t>Delivered</t>
        </is>
      </c>
    </row>
    <row r="617">
      <c r="A617" s="64" t="n">
        <v>46232</v>
      </c>
      <c r="B617" s="65" t="inlineStr">
        <is>
          <t>INV-0313</t>
        </is>
      </c>
      <c r="C617" s="65" t="inlineStr">
        <is>
          <t>Walk-in Customer</t>
        </is>
      </c>
      <c r="D617" s="65" t="inlineStr">
        <is>
          <t>Sugar 50kg</t>
        </is>
      </c>
      <c r="E617" s="66" t="n">
        <v>1</v>
      </c>
      <c r="H617" s="65" t="inlineStr">
        <is>
          <t>Cash</t>
        </is>
      </c>
      <c r="I617" s="65" t="inlineStr">
        <is>
          <t>Delivered</t>
        </is>
      </c>
    </row>
    <row r="618">
      <c r="A618" s="64" t="n">
        <v>46232</v>
      </c>
      <c r="B618" s="65" t="inlineStr">
        <is>
          <t>INV-0313</t>
        </is>
      </c>
      <c r="C618" s="65" t="inlineStr">
        <is>
          <t>Walk-in Customer</t>
        </is>
      </c>
      <c r="D618" s="65" t="inlineStr">
        <is>
          <t>Tea Premium 1kg</t>
        </is>
      </c>
      <c r="E618" s="66" t="n">
        <v>3</v>
      </c>
      <c r="H618" s="65" t="inlineStr">
        <is>
          <t>Cash</t>
        </is>
      </c>
      <c r="I618" s="65" t="inlineStr">
        <is>
          <t>Delivered</t>
        </is>
      </c>
    </row>
    <row r="619">
      <c r="A619" s="64" t="n">
        <v>46232</v>
      </c>
      <c r="B619" s="65" t="inlineStr">
        <is>
          <t>INV-0314</t>
        </is>
      </c>
      <c r="C619" s="65" t="inlineStr">
        <is>
          <t>Walk-in Customer</t>
        </is>
      </c>
      <c r="D619" s="65" t="inlineStr">
        <is>
          <t>Sugar 50kg</t>
        </is>
      </c>
      <c r="E619" s="66" t="n">
        <v>1</v>
      </c>
      <c r="H619" s="65" t="inlineStr">
        <is>
          <t>Cash</t>
        </is>
      </c>
      <c r="I619" s="65" t="inlineStr">
        <is>
          <t>Delivered</t>
        </is>
      </c>
    </row>
    <row r="620">
      <c r="A620" s="64" t="n">
        <v>46232</v>
      </c>
      <c r="B620" s="65" t="inlineStr">
        <is>
          <t>INV-0315</t>
        </is>
      </c>
      <c r="C620" s="65" t="inlineStr">
        <is>
          <t>Walk-in Customer</t>
        </is>
      </c>
      <c r="D620" s="65" t="inlineStr">
        <is>
          <t>PVC Pipe 1in 6m</t>
        </is>
      </c>
      <c r="E620" s="66" t="n">
        <v>3</v>
      </c>
      <c r="G620" s="68" t="n">
        <v>0.05</v>
      </c>
      <c r="H620" s="65" t="inlineStr">
        <is>
          <t>Cash</t>
        </is>
      </c>
      <c r="I620" s="65" t="inlineStr">
        <is>
          <t>Delivered</t>
        </is>
      </c>
    </row>
    <row r="621">
      <c r="A621" s="64" t="n">
        <v>46232</v>
      </c>
      <c r="B621" s="65" t="inlineStr">
        <is>
          <t>INV-0315</t>
        </is>
      </c>
      <c r="C621" s="65" t="inlineStr">
        <is>
          <t>Walk-in Customer</t>
        </is>
      </c>
      <c r="D621" s="65" t="inlineStr">
        <is>
          <t>Copper Wire 90m</t>
        </is>
      </c>
      <c r="E621" s="66" t="n">
        <v>1</v>
      </c>
      <c r="G621" s="68" t="n">
        <v>0.05</v>
      </c>
      <c r="H621" s="65" t="inlineStr">
        <is>
          <t>Cash</t>
        </is>
      </c>
      <c r="I621" s="65" t="inlineStr">
        <is>
          <t>Delivered</t>
        </is>
      </c>
    </row>
    <row r="622">
      <c r="A622" s="64" t="n">
        <v>46232</v>
      </c>
      <c r="B622" s="65" t="inlineStr">
        <is>
          <t>INV-0316</t>
        </is>
      </c>
      <c r="C622" s="65" t="inlineStr">
        <is>
          <t>Gupta Electricals</t>
        </is>
      </c>
      <c r="D622" s="65" t="inlineStr">
        <is>
          <t>Copper Wire 90m</t>
        </is>
      </c>
      <c r="E622" s="66" t="n">
        <v>1</v>
      </c>
      <c r="G622" s="68" t="n">
        <v>0.05</v>
      </c>
      <c r="H622" s="65" t="inlineStr">
        <is>
          <t>UPI</t>
        </is>
      </c>
      <c r="I622" s="65" t="inlineStr">
        <is>
          <t>Delivered</t>
        </is>
      </c>
    </row>
    <row r="623">
      <c r="A623" s="64" t="n">
        <v>46233</v>
      </c>
      <c r="B623" s="65" t="inlineStr">
        <is>
          <t>INV-0317</t>
        </is>
      </c>
      <c r="C623" s="65" t="inlineStr">
        <is>
          <t>Gupta Electricals</t>
        </is>
      </c>
      <c r="D623" s="65" t="inlineStr">
        <is>
          <t>PVC Pipe 1in 6m</t>
        </is>
      </c>
      <c r="E623" s="66" t="n">
        <v>6</v>
      </c>
      <c r="H623" s="65" t="inlineStr">
        <is>
          <t>UPI</t>
        </is>
      </c>
      <c r="I623" s="65" t="inlineStr">
        <is>
          <t>Delivered</t>
        </is>
      </c>
    </row>
    <row r="624">
      <c r="A624" s="64" t="n">
        <v>46233</v>
      </c>
      <c r="B624" s="65" t="inlineStr">
        <is>
          <t>INV-0317</t>
        </is>
      </c>
      <c r="C624" s="65" t="inlineStr">
        <is>
          <t>Gupta Electricals</t>
        </is>
      </c>
      <c r="D624" s="65" t="inlineStr">
        <is>
          <t>Refined Oil 15L</t>
        </is>
      </c>
      <c r="E624" s="66" t="n">
        <v>1</v>
      </c>
      <c r="G624" s="68" t="n">
        <v>0.05</v>
      </c>
      <c r="H624" s="65" t="inlineStr">
        <is>
          <t>UPI</t>
        </is>
      </c>
      <c r="I624" s="65" t="inlineStr">
        <is>
          <t>Delivered</t>
        </is>
      </c>
    </row>
    <row r="625">
      <c r="A625" s="64" t="n">
        <v>46233</v>
      </c>
      <c r="B625" s="65" t="inlineStr">
        <is>
          <t>INV-0317</t>
        </is>
      </c>
      <c r="C625" s="65" t="inlineStr">
        <is>
          <t>Gupta Electricals</t>
        </is>
      </c>
      <c r="D625" s="65" t="inlineStr">
        <is>
          <t>Tea Premium 1kg</t>
        </is>
      </c>
      <c r="E625" s="66" t="n">
        <v>1</v>
      </c>
      <c r="H625" s="65" t="inlineStr">
        <is>
          <t>UPI</t>
        </is>
      </c>
      <c r="I625" s="65" t="inlineStr">
        <is>
          <t>Delivered</t>
        </is>
      </c>
    </row>
    <row r="626">
      <c r="A626" s="64" t="n">
        <v>46233</v>
      </c>
      <c r="B626" s="65" t="inlineStr">
        <is>
          <t>INV-0318</t>
        </is>
      </c>
      <c r="C626" s="65" t="inlineStr">
        <is>
          <t>Sharma Kirana Store</t>
        </is>
      </c>
      <c r="D626" s="65" t="inlineStr">
        <is>
          <t>Basmati Rice 25kg</t>
        </is>
      </c>
      <c r="E626" s="66" t="n">
        <v>1</v>
      </c>
      <c r="I626" s="65" t="inlineStr">
        <is>
          <t>Delivered</t>
        </is>
      </c>
    </row>
    <row r="627">
      <c r="A627" s="64" t="n">
        <v>46234</v>
      </c>
      <c r="B627" s="65" t="inlineStr">
        <is>
          <t>INV-0319</t>
        </is>
      </c>
      <c r="C627" s="65" t="inlineStr">
        <is>
          <t>Mehta Constructions</t>
        </is>
      </c>
      <c r="D627" s="65" t="inlineStr">
        <is>
          <t>LED Bulb 9W</t>
        </is>
      </c>
      <c r="E627" s="66" t="n">
        <v>17</v>
      </c>
      <c r="I627" s="65" t="inlineStr">
        <is>
          <t>Delivered</t>
        </is>
      </c>
    </row>
    <row r="628">
      <c r="A628" s="64" t="n">
        <v>46234</v>
      </c>
      <c r="B628" s="65" t="inlineStr">
        <is>
          <t>INV-0319</t>
        </is>
      </c>
      <c r="C628" s="65" t="inlineStr">
        <is>
          <t>Mehta Constructions</t>
        </is>
      </c>
      <c r="D628" s="65" t="inlineStr">
        <is>
          <t>Sugar 50kg</t>
        </is>
      </c>
      <c r="E628" s="66" t="n">
        <v>1</v>
      </c>
      <c r="I628" s="65" t="inlineStr">
        <is>
          <t>Delivered</t>
        </is>
      </c>
    </row>
    <row r="629">
      <c r="A629" s="64" t="n">
        <v>46234</v>
      </c>
      <c r="B629" s="65" t="inlineStr">
        <is>
          <t>INV-0320</t>
        </is>
      </c>
      <c r="C629" s="65" t="inlineStr">
        <is>
          <t>Delhi Hardware Mart</t>
        </is>
      </c>
      <c r="D629" s="65" t="inlineStr">
        <is>
          <t>Ceiling Fan 1200mm</t>
        </is>
      </c>
      <c r="E629" s="66" t="n">
        <v>1</v>
      </c>
      <c r="I629" s="65" t="inlineStr">
        <is>
          <t>Delivered</t>
        </is>
      </c>
    </row>
    <row r="630">
      <c r="A630" s="64" t="n">
        <v>46234</v>
      </c>
      <c r="B630" s="65" t="inlineStr">
        <is>
          <t>INV-0321</t>
        </is>
      </c>
      <c r="C630" s="65" t="inlineStr">
        <is>
          <t>Gupta Electricals</t>
        </is>
      </c>
      <c r="D630" s="65" t="inlineStr">
        <is>
          <t>PVC Pipe 1in 6m</t>
        </is>
      </c>
      <c r="E630" s="66" t="n">
        <v>9</v>
      </c>
      <c r="G630" s="68" t="n">
        <v>0.02</v>
      </c>
      <c r="I630" s="65" t="inlineStr">
        <is>
          <t>Delivered</t>
        </is>
      </c>
    </row>
    <row r="631">
      <c r="A631" s="64" t="n">
        <v>46234</v>
      </c>
      <c r="B631" s="65" t="inlineStr">
        <is>
          <t>INV-0321</t>
        </is>
      </c>
      <c r="C631" s="65" t="inlineStr">
        <is>
          <t>Gupta Electricals</t>
        </is>
      </c>
      <c r="D631" s="65" t="inlineStr">
        <is>
          <t>Ceiling Fan 1200mm</t>
        </is>
      </c>
      <c r="E631" s="66" t="n">
        <v>1</v>
      </c>
      <c r="G631" s="68" t="n">
        <v>0.05</v>
      </c>
      <c r="I631" s="65" t="inlineStr">
        <is>
          <t>Delivered</t>
        </is>
      </c>
    </row>
    <row r="632">
      <c r="A632" s="64" t="n">
        <v>46234</v>
      </c>
      <c r="B632" s="65" t="inlineStr">
        <is>
          <t>INV-0322</t>
        </is>
      </c>
      <c r="C632" s="65" t="inlineStr">
        <is>
          <t>FMCG Distributors</t>
        </is>
      </c>
      <c r="D632" s="65" t="inlineStr">
        <is>
          <t>PVC Pipe 1in 6m</t>
        </is>
      </c>
      <c r="E632" s="66" t="n">
        <v>8</v>
      </c>
      <c r="I632" s="65" t="inlineStr">
        <is>
          <t>Delivered</t>
        </is>
      </c>
    </row>
    <row r="633">
      <c r="A633" s="64" t="n">
        <v>46234</v>
      </c>
      <c r="B633" s="65" t="inlineStr">
        <is>
          <t>INV-0322</t>
        </is>
      </c>
      <c r="C633" s="65" t="inlineStr">
        <is>
          <t>FMCG Distributors</t>
        </is>
      </c>
      <c r="D633" s="65" t="inlineStr">
        <is>
          <t>Toothpaste 150g x12</t>
        </is>
      </c>
      <c r="E633" s="66" t="n">
        <v>1</v>
      </c>
      <c r="I633" s="65" t="inlineStr">
        <is>
          <t>Delivered</t>
        </is>
      </c>
    </row>
    <row r="634">
      <c r="A634" s="64" t="n">
        <v>46235</v>
      </c>
      <c r="B634" s="65" t="inlineStr">
        <is>
          <t>INV-0323</t>
        </is>
      </c>
      <c r="C634" s="65" t="inlineStr">
        <is>
          <t>Delhi Hardware Mart</t>
        </is>
      </c>
      <c r="D634" s="65" t="inlineStr">
        <is>
          <t>Ceiling Fan 1200mm</t>
        </is>
      </c>
      <c r="E634" s="66" t="n">
        <v>1</v>
      </c>
      <c r="H634" s="65" t="inlineStr">
        <is>
          <t>Bank</t>
        </is>
      </c>
      <c r="I634" s="65" t="inlineStr">
        <is>
          <t>Delivered</t>
        </is>
      </c>
    </row>
    <row r="635">
      <c r="A635" s="64" t="n">
        <v>46235</v>
      </c>
      <c r="B635" s="65" t="inlineStr">
        <is>
          <t>INV-0324</t>
        </is>
      </c>
      <c r="C635" s="65" t="inlineStr">
        <is>
          <t>Mehta Constructions</t>
        </is>
      </c>
      <c r="D635" s="65" t="inlineStr">
        <is>
          <t>Copper Wire 90m</t>
        </is>
      </c>
      <c r="E635" s="66" t="n">
        <v>1</v>
      </c>
      <c r="H635" s="65" t="inlineStr">
        <is>
          <t>Bank</t>
        </is>
      </c>
      <c r="I635" s="65" t="inlineStr">
        <is>
          <t>Delivered</t>
        </is>
      </c>
    </row>
    <row r="636">
      <c r="A636" s="64" t="n">
        <v>46235</v>
      </c>
      <c r="B636" s="65" t="inlineStr">
        <is>
          <t>INV-0324</t>
        </is>
      </c>
      <c r="C636" s="65" t="inlineStr">
        <is>
          <t>Mehta Constructions</t>
        </is>
      </c>
      <c r="D636" s="65" t="inlineStr">
        <is>
          <t>Basmati Rice 25kg</t>
        </is>
      </c>
      <c r="E636" s="66" t="n">
        <v>1</v>
      </c>
      <c r="G636" s="68" t="n">
        <v>0.02</v>
      </c>
      <c r="H636" s="65" t="inlineStr">
        <is>
          <t>Bank</t>
        </is>
      </c>
      <c r="I636" s="65" t="inlineStr">
        <is>
          <t>Delivered</t>
        </is>
      </c>
    </row>
    <row r="637">
      <c r="A637" s="64" t="n">
        <v>46235</v>
      </c>
      <c r="B637" s="65" t="inlineStr">
        <is>
          <t>INV-0325</t>
        </is>
      </c>
      <c r="C637" s="65" t="inlineStr">
        <is>
          <t>Sharma Kirana Store</t>
        </is>
      </c>
      <c r="D637" s="65" t="inlineStr">
        <is>
          <t>Refined Oil 15L</t>
        </is>
      </c>
      <c r="E637" s="66" t="n">
        <v>1</v>
      </c>
      <c r="G637" s="68" t="n">
        <v>0.05</v>
      </c>
      <c r="I637" s="65" t="inlineStr">
        <is>
          <t>Delivered</t>
        </is>
      </c>
    </row>
    <row r="638">
      <c r="A638" s="64" t="n">
        <v>46237</v>
      </c>
      <c r="B638" s="65" t="inlineStr">
        <is>
          <t>INV-0326</t>
        </is>
      </c>
      <c r="C638" s="65" t="inlineStr">
        <is>
          <t>Walk-in Customer</t>
        </is>
      </c>
      <c r="D638" s="65" t="inlineStr">
        <is>
          <t>Ceiling Fan 1200mm</t>
        </is>
      </c>
      <c r="E638" s="66" t="n">
        <v>1</v>
      </c>
      <c r="G638" s="68" t="n">
        <v>0.05</v>
      </c>
      <c r="H638" s="65" t="inlineStr">
        <is>
          <t>Cash</t>
        </is>
      </c>
      <c r="I638" s="65" t="inlineStr">
        <is>
          <t>Delivered</t>
        </is>
      </c>
    </row>
    <row r="639">
      <c r="A639" s="64" t="n">
        <v>46237</v>
      </c>
      <c r="B639" s="65" t="inlineStr">
        <is>
          <t>INV-0326</t>
        </is>
      </c>
      <c r="C639" s="65" t="inlineStr">
        <is>
          <t>Walk-in Customer</t>
        </is>
      </c>
      <c r="D639" s="65" t="inlineStr">
        <is>
          <t>Copper Wire 90m</t>
        </is>
      </c>
      <c r="E639" s="66" t="n">
        <v>1</v>
      </c>
      <c r="H639" s="65" t="inlineStr">
        <is>
          <t>Cash</t>
        </is>
      </c>
      <c r="I639" s="65" t="inlineStr">
        <is>
          <t>Delivered</t>
        </is>
      </c>
    </row>
    <row r="640">
      <c r="A640" s="64" t="n">
        <v>46237</v>
      </c>
      <c r="B640" s="65" t="inlineStr">
        <is>
          <t>INV-0327</t>
        </is>
      </c>
      <c r="C640" s="65" t="inlineStr">
        <is>
          <t>FMCG Distributors</t>
        </is>
      </c>
      <c r="D640" s="65" t="inlineStr">
        <is>
          <t>Detergent 5kg</t>
        </is>
      </c>
      <c r="E640" s="66" t="n">
        <v>2</v>
      </c>
      <c r="H640" s="65" t="inlineStr">
        <is>
          <t>Bank</t>
        </is>
      </c>
      <c r="I640" s="65" t="inlineStr">
        <is>
          <t>Delivered</t>
        </is>
      </c>
    </row>
    <row r="641">
      <c r="A641" s="64" t="n">
        <v>46237</v>
      </c>
      <c r="B641" s="65" t="inlineStr">
        <is>
          <t>INV-0327</t>
        </is>
      </c>
      <c r="C641" s="65" t="inlineStr">
        <is>
          <t>FMCG Distributors</t>
        </is>
      </c>
      <c r="D641" s="65" t="inlineStr">
        <is>
          <t>Refined Oil 15L</t>
        </is>
      </c>
      <c r="E641" s="66" t="n">
        <v>1</v>
      </c>
      <c r="H641" s="65" t="inlineStr">
        <is>
          <t>Bank</t>
        </is>
      </c>
      <c r="I641" s="65" t="inlineStr">
        <is>
          <t>Delivered</t>
        </is>
      </c>
    </row>
    <row r="642">
      <c r="A642" s="64" t="n">
        <v>46237</v>
      </c>
      <c r="B642" s="65" t="inlineStr">
        <is>
          <t>INV-0328</t>
        </is>
      </c>
      <c r="C642" s="65" t="inlineStr">
        <is>
          <t>Walk-in Customer</t>
        </is>
      </c>
      <c r="D642" s="65" t="inlineStr">
        <is>
          <t>Cement 50kg</t>
        </is>
      </c>
      <c r="E642" s="66" t="n">
        <v>6</v>
      </c>
      <c r="H642" s="65" t="inlineStr">
        <is>
          <t>Cash</t>
        </is>
      </c>
      <c r="I642" s="65" t="inlineStr">
        <is>
          <t>Delivered</t>
        </is>
      </c>
    </row>
    <row r="643">
      <c r="A643" s="64" t="n">
        <v>46237</v>
      </c>
      <c r="B643" s="65" t="inlineStr">
        <is>
          <t>INV-0328</t>
        </is>
      </c>
      <c r="C643" s="65" t="inlineStr">
        <is>
          <t>Walk-in Customer</t>
        </is>
      </c>
      <c r="D643" s="65" t="inlineStr">
        <is>
          <t>Copper Wire 90m</t>
        </is>
      </c>
      <c r="E643" s="66" t="n">
        <v>1</v>
      </c>
      <c r="H643" s="65" t="inlineStr">
        <is>
          <t>Cash</t>
        </is>
      </c>
      <c r="I643" s="65" t="inlineStr">
        <is>
          <t>Delivered</t>
        </is>
      </c>
    </row>
    <row r="644">
      <c r="A644" s="64" t="n">
        <v>46237</v>
      </c>
      <c r="B644" s="65" t="inlineStr">
        <is>
          <t>INV-0329</t>
        </is>
      </c>
      <c r="C644" s="65" t="inlineStr">
        <is>
          <t>Walk-in Customer</t>
        </is>
      </c>
      <c r="D644" s="65" t="inlineStr">
        <is>
          <t>Tea Premium 1kg</t>
        </is>
      </c>
      <c r="E644" s="66" t="n">
        <v>1</v>
      </c>
      <c r="G644" s="68" t="n">
        <v>0.05</v>
      </c>
      <c r="H644" s="65" t="inlineStr">
        <is>
          <t>Cash</t>
        </is>
      </c>
      <c r="I644" s="65" t="inlineStr">
        <is>
          <t>Delivered</t>
        </is>
      </c>
    </row>
    <row r="645">
      <c r="A645" s="64" t="n">
        <v>46237</v>
      </c>
      <c r="B645" s="65" t="inlineStr">
        <is>
          <t>INV-0329</t>
        </is>
      </c>
      <c r="C645" s="65" t="inlineStr">
        <is>
          <t>Walk-in Customer</t>
        </is>
      </c>
      <c r="D645" s="65" t="inlineStr">
        <is>
          <t>Basmati Rice 25kg</t>
        </is>
      </c>
      <c r="E645" s="66" t="n">
        <v>1</v>
      </c>
      <c r="H645" s="65" t="inlineStr">
        <is>
          <t>Cash</t>
        </is>
      </c>
      <c r="I645" s="65" t="inlineStr">
        <is>
          <t>Delivered</t>
        </is>
      </c>
    </row>
    <row r="646">
      <c r="A646" s="64" t="n">
        <v>46238</v>
      </c>
      <c r="B646" s="65" t="inlineStr">
        <is>
          <t>INV-0330</t>
        </is>
      </c>
      <c r="C646" s="65" t="inlineStr">
        <is>
          <t>Mehta Constructions</t>
        </is>
      </c>
      <c r="D646" s="65" t="inlineStr">
        <is>
          <t>Sugar 50kg</t>
        </is>
      </c>
      <c r="E646" s="66" t="n">
        <v>1</v>
      </c>
      <c r="H646" s="65" t="inlineStr">
        <is>
          <t>UPI</t>
        </is>
      </c>
      <c r="I646" s="65" t="inlineStr">
        <is>
          <t>Delivered</t>
        </is>
      </c>
    </row>
    <row r="647">
      <c r="A647" s="64" t="n">
        <v>46238</v>
      </c>
      <c r="B647" s="65" t="inlineStr">
        <is>
          <t>INV-0330</t>
        </is>
      </c>
      <c r="C647" s="65" t="inlineStr">
        <is>
          <t>Mehta Constructions</t>
        </is>
      </c>
      <c r="D647" s="65" t="inlineStr">
        <is>
          <t>PVC Pipe 1in 6m</t>
        </is>
      </c>
      <c r="E647" s="66" t="n">
        <v>6</v>
      </c>
      <c r="G647" s="68" t="n">
        <v>0.05</v>
      </c>
      <c r="H647" s="65" t="inlineStr">
        <is>
          <t>UPI</t>
        </is>
      </c>
      <c r="I647" s="65" t="inlineStr">
        <is>
          <t>Delivered</t>
        </is>
      </c>
    </row>
    <row r="648">
      <c r="A648" s="64" t="n">
        <v>46238</v>
      </c>
      <c r="B648" s="65" t="inlineStr">
        <is>
          <t>INV-0331</t>
        </is>
      </c>
      <c r="C648" s="65" t="inlineStr">
        <is>
          <t>Delhi Hardware Mart</t>
        </is>
      </c>
      <c r="D648" s="65" t="inlineStr">
        <is>
          <t>Tea Premium 1kg</t>
        </is>
      </c>
      <c r="E648" s="66" t="n">
        <v>4</v>
      </c>
      <c r="G648" s="68" t="n">
        <v>0.05</v>
      </c>
      <c r="I648" s="65" t="inlineStr">
        <is>
          <t>Delivered</t>
        </is>
      </c>
    </row>
    <row r="649">
      <c r="A649" s="64" t="n">
        <v>46238</v>
      </c>
      <c r="B649" s="65" t="inlineStr">
        <is>
          <t>INV-0332</t>
        </is>
      </c>
      <c r="C649" s="65" t="inlineStr">
        <is>
          <t>Gupta Electricals</t>
        </is>
      </c>
      <c r="D649" s="65" t="inlineStr">
        <is>
          <t>Tea Premium 1kg</t>
        </is>
      </c>
      <c r="E649" s="66" t="n">
        <v>3</v>
      </c>
      <c r="I649" s="65" t="inlineStr">
        <is>
          <t>Delivered</t>
        </is>
      </c>
    </row>
    <row r="650">
      <c r="A650" s="64" t="n">
        <v>46238</v>
      </c>
      <c r="B650" s="65" t="inlineStr">
        <is>
          <t>INV-0332</t>
        </is>
      </c>
      <c r="C650" s="65" t="inlineStr">
        <is>
          <t>Gupta Electricals</t>
        </is>
      </c>
      <c r="D650" s="65" t="inlineStr">
        <is>
          <t>Refined Oil 15L</t>
        </is>
      </c>
      <c r="E650" s="66" t="n">
        <v>2</v>
      </c>
      <c r="I650" s="65" t="inlineStr">
        <is>
          <t>Delivered</t>
        </is>
      </c>
    </row>
    <row r="651">
      <c r="A651" s="64" t="n">
        <v>46239</v>
      </c>
      <c r="B651" s="65" t="inlineStr">
        <is>
          <t>INV-0333</t>
        </is>
      </c>
      <c r="C651" s="65" t="inlineStr">
        <is>
          <t>Walk-in Customer</t>
        </is>
      </c>
      <c r="D651" s="65" t="inlineStr">
        <is>
          <t>PVC Pipe 1in 6m</t>
        </is>
      </c>
      <c r="E651" s="66" t="n">
        <v>4</v>
      </c>
      <c r="H651" s="65" t="inlineStr">
        <is>
          <t>Cash</t>
        </is>
      </c>
      <c r="I651" s="65" t="inlineStr">
        <is>
          <t>Delivered</t>
        </is>
      </c>
    </row>
    <row r="652">
      <c r="A652" s="64" t="n">
        <v>46239</v>
      </c>
      <c r="B652" s="65" t="inlineStr">
        <is>
          <t>INV-0333</t>
        </is>
      </c>
      <c r="C652" s="65" t="inlineStr">
        <is>
          <t>Walk-in Customer</t>
        </is>
      </c>
      <c r="D652" s="65" t="inlineStr">
        <is>
          <t>LED Bulb 9W</t>
        </is>
      </c>
      <c r="E652" s="66" t="n">
        <v>18</v>
      </c>
      <c r="G652" s="68" t="n">
        <v>0.02</v>
      </c>
      <c r="H652" s="65" t="inlineStr">
        <is>
          <t>Cash</t>
        </is>
      </c>
      <c r="I652" s="65" t="inlineStr">
        <is>
          <t>Delivered</t>
        </is>
      </c>
    </row>
    <row r="653">
      <c r="A653" s="64" t="n">
        <v>46239</v>
      </c>
      <c r="B653" s="65" t="inlineStr">
        <is>
          <t>INV-0334</t>
        </is>
      </c>
      <c r="C653" s="65" t="inlineStr">
        <is>
          <t>FMCG Distributors</t>
        </is>
      </c>
      <c r="D653" s="65" t="inlineStr">
        <is>
          <t>Toothpaste 150g x12</t>
        </is>
      </c>
      <c r="E653" s="66" t="n">
        <v>1</v>
      </c>
      <c r="I653" s="65" t="inlineStr">
        <is>
          <t>Delivered</t>
        </is>
      </c>
    </row>
    <row r="654">
      <c r="A654" s="64" t="n">
        <v>46239</v>
      </c>
      <c r="B654" s="65" t="inlineStr">
        <is>
          <t>INV-0334</t>
        </is>
      </c>
      <c r="C654" s="65" t="inlineStr">
        <is>
          <t>FMCG Distributors</t>
        </is>
      </c>
      <c r="D654" s="65" t="inlineStr">
        <is>
          <t>Refined Oil 15L</t>
        </is>
      </c>
      <c r="E654" s="66" t="n">
        <v>2</v>
      </c>
      <c r="G654" s="68" t="n">
        <v>0.02</v>
      </c>
      <c r="I654" s="65" t="inlineStr">
        <is>
          <t>Delivered</t>
        </is>
      </c>
    </row>
    <row r="655">
      <c r="A655" s="64" t="n">
        <v>46239</v>
      </c>
      <c r="B655" s="65" t="inlineStr">
        <is>
          <t>INV-0335</t>
        </is>
      </c>
      <c r="C655" s="65" t="inlineStr">
        <is>
          <t>Walk-in Customer</t>
        </is>
      </c>
      <c r="D655" s="65" t="inlineStr">
        <is>
          <t>LED Bulb 9W</t>
        </is>
      </c>
      <c r="E655" s="66" t="n">
        <v>23</v>
      </c>
      <c r="G655" s="68" t="n">
        <v>0.05</v>
      </c>
      <c r="H655" s="65" t="inlineStr">
        <is>
          <t>Cash</t>
        </is>
      </c>
      <c r="I655" s="65" t="inlineStr">
        <is>
          <t>Delivered</t>
        </is>
      </c>
    </row>
    <row r="656">
      <c r="A656" s="64" t="n">
        <v>46239</v>
      </c>
      <c r="B656" s="65" t="inlineStr">
        <is>
          <t>INV-0335</t>
        </is>
      </c>
      <c r="C656" s="65" t="inlineStr">
        <is>
          <t>Walk-in Customer</t>
        </is>
      </c>
      <c r="D656" s="65" t="inlineStr">
        <is>
          <t>Cement 50kg</t>
        </is>
      </c>
      <c r="E656" s="66" t="n">
        <v>3</v>
      </c>
      <c r="H656" s="65" t="inlineStr">
        <is>
          <t>Cash</t>
        </is>
      </c>
      <c r="I656" s="65" t="inlineStr">
        <is>
          <t>Delivered</t>
        </is>
      </c>
    </row>
    <row r="657">
      <c r="A657" s="64" t="n">
        <v>46239</v>
      </c>
      <c r="B657" s="65" t="inlineStr">
        <is>
          <t>INV-0335</t>
        </is>
      </c>
      <c r="C657" s="65" t="inlineStr">
        <is>
          <t>Walk-in Customer</t>
        </is>
      </c>
      <c r="D657" s="65" t="inlineStr">
        <is>
          <t>Detergent 5kg</t>
        </is>
      </c>
      <c r="E657" s="66" t="n">
        <v>2</v>
      </c>
      <c r="H657" s="65" t="inlineStr">
        <is>
          <t>Cash</t>
        </is>
      </c>
      <c r="I657" s="65" t="inlineStr">
        <is>
          <t>Delivered</t>
        </is>
      </c>
    </row>
    <row r="658">
      <c r="A658" s="64" t="n">
        <v>46240</v>
      </c>
      <c r="B658" s="65" t="inlineStr">
        <is>
          <t>INV-0336</t>
        </is>
      </c>
      <c r="C658" s="65" t="inlineStr">
        <is>
          <t>Walk-in Customer</t>
        </is>
      </c>
      <c r="D658" s="65" t="inlineStr">
        <is>
          <t>Cement 50kg</t>
        </is>
      </c>
      <c r="E658" s="66" t="n">
        <v>4</v>
      </c>
      <c r="G658" s="68" t="n">
        <v>0.05</v>
      </c>
      <c r="H658" s="65" t="inlineStr">
        <is>
          <t>Cash</t>
        </is>
      </c>
      <c r="I658" s="65" t="inlineStr">
        <is>
          <t>Delivered</t>
        </is>
      </c>
    </row>
    <row r="659">
      <c r="A659" s="64" t="n">
        <v>46240</v>
      </c>
      <c r="B659" s="65" t="inlineStr">
        <is>
          <t>INV-0337</t>
        </is>
      </c>
      <c r="C659" s="65" t="inlineStr">
        <is>
          <t>FMCG Distributors</t>
        </is>
      </c>
      <c r="D659" s="65" t="inlineStr">
        <is>
          <t>Ceiling Fan 1200mm</t>
        </is>
      </c>
      <c r="E659" s="66" t="n">
        <v>1</v>
      </c>
      <c r="H659" s="65" t="inlineStr">
        <is>
          <t>UPI</t>
        </is>
      </c>
      <c r="I659" s="65" t="inlineStr">
        <is>
          <t>Delivered</t>
        </is>
      </c>
    </row>
    <row r="660">
      <c r="A660" s="64" t="n">
        <v>46240</v>
      </c>
      <c r="B660" s="65" t="inlineStr">
        <is>
          <t>INV-0337</t>
        </is>
      </c>
      <c r="C660" s="65" t="inlineStr">
        <is>
          <t>FMCG Distributors</t>
        </is>
      </c>
      <c r="D660" s="65" t="inlineStr">
        <is>
          <t>LED Bulb 9W</t>
        </is>
      </c>
      <c r="E660" s="66" t="n">
        <v>21</v>
      </c>
      <c r="H660" s="65" t="inlineStr">
        <is>
          <t>UPI</t>
        </is>
      </c>
      <c r="I660" s="65" t="inlineStr">
        <is>
          <t>Delivered</t>
        </is>
      </c>
    </row>
    <row r="661">
      <c r="A661" s="64" t="n">
        <v>46241</v>
      </c>
      <c r="B661" s="65" t="inlineStr">
        <is>
          <t>INV-0338</t>
        </is>
      </c>
      <c r="C661" s="65" t="inlineStr">
        <is>
          <t>Mehta Constructions</t>
        </is>
      </c>
      <c r="D661" s="65" t="inlineStr">
        <is>
          <t>Refined Oil 15L</t>
        </is>
      </c>
      <c r="E661" s="66" t="n">
        <v>1</v>
      </c>
      <c r="I661" s="65" t="inlineStr">
        <is>
          <t>Delivered</t>
        </is>
      </c>
    </row>
    <row r="662">
      <c r="A662" s="64" t="n">
        <v>46241</v>
      </c>
      <c r="B662" s="65" t="inlineStr">
        <is>
          <t>INV-0339</t>
        </is>
      </c>
      <c r="C662" s="65" t="inlineStr">
        <is>
          <t>Sharma Kirana Store</t>
        </is>
      </c>
      <c r="D662" s="65" t="inlineStr">
        <is>
          <t>LED Bulb 9W</t>
        </is>
      </c>
      <c r="E662" s="66" t="n">
        <v>13</v>
      </c>
      <c r="G662" s="68" t="n">
        <v>0.05</v>
      </c>
      <c r="I662" s="65" t="inlineStr">
        <is>
          <t>Delivered</t>
        </is>
      </c>
    </row>
    <row r="663">
      <c r="A663" s="64" t="n">
        <v>46241</v>
      </c>
      <c r="B663" s="65" t="inlineStr">
        <is>
          <t>INV-0340</t>
        </is>
      </c>
      <c r="C663" s="65" t="inlineStr">
        <is>
          <t>Mehta Constructions</t>
        </is>
      </c>
      <c r="D663" s="65" t="inlineStr">
        <is>
          <t>Tea Premium 1kg</t>
        </is>
      </c>
      <c r="E663" s="66" t="n">
        <v>1</v>
      </c>
      <c r="H663" s="65" t="inlineStr">
        <is>
          <t>Bank</t>
        </is>
      </c>
      <c r="I663" s="65" t="inlineStr">
        <is>
          <t>Delivered</t>
        </is>
      </c>
    </row>
    <row r="664">
      <c r="A664" s="64" t="n">
        <v>46242</v>
      </c>
      <c r="B664" s="65" t="inlineStr">
        <is>
          <t>INV-0341</t>
        </is>
      </c>
      <c r="C664" s="65" t="inlineStr">
        <is>
          <t>Sharma Kirana Store</t>
        </is>
      </c>
      <c r="D664" s="65" t="inlineStr">
        <is>
          <t>Cement 50kg</t>
        </is>
      </c>
      <c r="E664" s="66" t="n">
        <v>5</v>
      </c>
      <c r="I664" s="65" t="inlineStr">
        <is>
          <t>Delivered</t>
        </is>
      </c>
    </row>
    <row r="665">
      <c r="A665" s="64" t="n">
        <v>46242</v>
      </c>
      <c r="B665" s="65" t="inlineStr">
        <is>
          <t>INV-0342</t>
        </is>
      </c>
      <c r="C665" s="65" t="inlineStr">
        <is>
          <t>Sharma Kirana Store</t>
        </is>
      </c>
      <c r="D665" s="65" t="inlineStr">
        <is>
          <t>PVC Pipe 1in 6m</t>
        </is>
      </c>
      <c r="E665" s="66" t="n">
        <v>9</v>
      </c>
      <c r="I665" s="65" t="inlineStr">
        <is>
          <t>Delivered</t>
        </is>
      </c>
    </row>
    <row r="666">
      <c r="A666" s="64" t="n">
        <v>46242</v>
      </c>
      <c r="B666" s="65" t="inlineStr">
        <is>
          <t>INV-0343</t>
        </is>
      </c>
      <c r="C666" s="65" t="inlineStr">
        <is>
          <t>Sharma Kirana Store</t>
        </is>
      </c>
      <c r="D666" s="65" t="inlineStr">
        <is>
          <t>Toothpaste 150g x12</t>
        </is>
      </c>
      <c r="E666" s="66" t="n">
        <v>1</v>
      </c>
      <c r="G666" s="68" t="n">
        <v>0.02</v>
      </c>
      <c r="I666" s="65" t="inlineStr">
        <is>
          <t>Delivered</t>
        </is>
      </c>
    </row>
    <row r="667">
      <c r="A667" s="64" t="n">
        <v>46242</v>
      </c>
      <c r="B667" s="65" t="inlineStr">
        <is>
          <t>INV-0343</t>
        </is>
      </c>
      <c r="C667" s="65" t="inlineStr">
        <is>
          <t>Sharma Kirana Store</t>
        </is>
      </c>
      <c r="D667" s="65" t="inlineStr">
        <is>
          <t>Basmati Rice 25kg</t>
        </is>
      </c>
      <c r="E667" s="66" t="n">
        <v>1</v>
      </c>
      <c r="I667" s="65" t="inlineStr">
        <is>
          <t>Delivered</t>
        </is>
      </c>
    </row>
    <row r="668">
      <c r="A668" s="64" t="n">
        <v>46244</v>
      </c>
      <c r="B668" s="65" t="inlineStr">
        <is>
          <t>INV-0344</t>
        </is>
      </c>
      <c r="C668" s="65" t="inlineStr">
        <is>
          <t>Sharma Kirana Store</t>
        </is>
      </c>
      <c r="D668" s="65" t="inlineStr">
        <is>
          <t>Sugar 50kg</t>
        </is>
      </c>
      <c r="E668" s="66" t="n">
        <v>1</v>
      </c>
      <c r="H668" s="65" t="inlineStr">
        <is>
          <t>UPI</t>
        </is>
      </c>
      <c r="I668" s="65" t="inlineStr">
        <is>
          <t>Delivered</t>
        </is>
      </c>
    </row>
    <row r="669">
      <c r="A669" s="64" t="n">
        <v>46244</v>
      </c>
      <c r="B669" s="65" t="inlineStr">
        <is>
          <t>INV-0345</t>
        </is>
      </c>
      <c r="C669" s="65" t="inlineStr">
        <is>
          <t>Walk-in Customer</t>
        </is>
      </c>
      <c r="D669" s="65" t="inlineStr">
        <is>
          <t>Detergent 5kg</t>
        </is>
      </c>
      <c r="E669" s="66" t="n">
        <v>1</v>
      </c>
      <c r="H669" s="65" t="inlineStr">
        <is>
          <t>Cash</t>
        </is>
      </c>
      <c r="I669" s="65" t="inlineStr">
        <is>
          <t>Delivered</t>
        </is>
      </c>
    </row>
    <row r="670">
      <c r="A670" s="64" t="n">
        <v>46244</v>
      </c>
      <c r="B670" s="65" t="inlineStr">
        <is>
          <t>INV-0345</t>
        </is>
      </c>
      <c r="C670" s="65" t="inlineStr">
        <is>
          <t>Walk-in Customer</t>
        </is>
      </c>
      <c r="D670" s="65" t="inlineStr">
        <is>
          <t>Copper Wire 90m</t>
        </is>
      </c>
      <c r="E670" s="66" t="n">
        <v>1</v>
      </c>
      <c r="H670" s="65" t="inlineStr">
        <is>
          <t>Cash</t>
        </is>
      </c>
      <c r="I670" s="65" t="inlineStr">
        <is>
          <t>Delivered</t>
        </is>
      </c>
    </row>
    <row r="671">
      <c r="A671" s="64" t="n">
        <v>46244</v>
      </c>
      <c r="B671" s="65" t="inlineStr">
        <is>
          <t>INV-0345</t>
        </is>
      </c>
      <c r="C671" s="65" t="inlineStr">
        <is>
          <t>Walk-in Customer</t>
        </is>
      </c>
      <c r="D671" s="65" t="inlineStr">
        <is>
          <t>Basmati Rice 25kg</t>
        </is>
      </c>
      <c r="E671" s="66" t="n">
        <v>1</v>
      </c>
      <c r="G671" s="68" t="n">
        <v>0.05</v>
      </c>
      <c r="H671" s="65" t="inlineStr">
        <is>
          <t>Cash</t>
        </is>
      </c>
      <c r="I671" s="65" t="inlineStr">
        <is>
          <t>Delivered</t>
        </is>
      </c>
    </row>
    <row r="672">
      <c r="A672" s="64" t="n">
        <v>46244</v>
      </c>
      <c r="B672" s="65" t="inlineStr">
        <is>
          <t>INV-0346</t>
        </is>
      </c>
      <c r="C672" s="65" t="inlineStr">
        <is>
          <t>FMCG Distributors</t>
        </is>
      </c>
      <c r="D672" s="65" t="inlineStr">
        <is>
          <t>Basmati Rice 25kg</t>
        </is>
      </c>
      <c r="E672" s="66" t="n">
        <v>1</v>
      </c>
      <c r="I672" s="65" t="inlineStr">
        <is>
          <t>Delivered</t>
        </is>
      </c>
    </row>
    <row r="673">
      <c r="A673" s="64" t="n">
        <v>46245</v>
      </c>
      <c r="B673" s="65" t="inlineStr">
        <is>
          <t>INV-0347</t>
        </is>
      </c>
      <c r="C673" s="65" t="inlineStr">
        <is>
          <t>Walk-in Customer</t>
        </is>
      </c>
      <c r="D673" s="65" t="inlineStr">
        <is>
          <t>Toothpaste 150g x12</t>
        </is>
      </c>
      <c r="E673" s="66" t="n">
        <v>1</v>
      </c>
      <c r="H673" s="65" t="inlineStr">
        <is>
          <t>Cash</t>
        </is>
      </c>
      <c r="I673" s="65" t="inlineStr">
        <is>
          <t>Delivered</t>
        </is>
      </c>
    </row>
    <row r="674">
      <c r="A674" s="64" t="n">
        <v>46245</v>
      </c>
      <c r="B674" s="65" t="inlineStr">
        <is>
          <t>INV-0347</t>
        </is>
      </c>
      <c r="C674" s="65" t="inlineStr">
        <is>
          <t>Walk-in Customer</t>
        </is>
      </c>
      <c r="D674" s="65" t="inlineStr">
        <is>
          <t>PVC Pipe 1in 6m</t>
        </is>
      </c>
      <c r="E674" s="66" t="n">
        <v>3</v>
      </c>
      <c r="H674" s="65" t="inlineStr">
        <is>
          <t>Cash</t>
        </is>
      </c>
      <c r="I674" s="65" t="inlineStr">
        <is>
          <t>Delivered</t>
        </is>
      </c>
    </row>
    <row r="675">
      <c r="A675" s="64" t="n">
        <v>46245</v>
      </c>
      <c r="B675" s="65" t="inlineStr">
        <is>
          <t>INV-0349</t>
        </is>
      </c>
      <c r="C675" s="65" t="inlineStr">
        <is>
          <t>FMCG Distributors</t>
        </is>
      </c>
      <c r="D675" s="65" t="inlineStr">
        <is>
          <t>LED Bulb 9W</t>
        </is>
      </c>
      <c r="E675" s="66" t="n">
        <v>23</v>
      </c>
      <c r="G675" s="68" t="n">
        <v>0.05</v>
      </c>
      <c r="I675" s="65" t="inlineStr">
        <is>
          <t>Delivered</t>
        </is>
      </c>
    </row>
    <row r="676">
      <c r="A676" s="64" t="n">
        <v>46245</v>
      </c>
      <c r="B676" s="65" t="inlineStr">
        <is>
          <t>INV-0349</t>
        </is>
      </c>
      <c r="C676" s="65" t="inlineStr">
        <is>
          <t>FMCG Distributors</t>
        </is>
      </c>
      <c r="D676" s="65" t="inlineStr">
        <is>
          <t>Sugar 50kg</t>
        </is>
      </c>
      <c r="E676" s="66" t="n">
        <v>1</v>
      </c>
      <c r="I676" s="65" t="inlineStr">
        <is>
          <t>Delivered</t>
        </is>
      </c>
    </row>
    <row r="677">
      <c r="A677" s="64" t="n">
        <v>46246</v>
      </c>
      <c r="B677" s="65" t="inlineStr">
        <is>
          <t>INV-0350</t>
        </is>
      </c>
      <c r="C677" s="65" t="inlineStr">
        <is>
          <t>Delhi Hardware Mart</t>
        </is>
      </c>
      <c r="D677" s="65" t="inlineStr">
        <is>
          <t>Ceiling Fan 1200mm</t>
        </is>
      </c>
      <c r="E677" s="66" t="n">
        <v>1</v>
      </c>
      <c r="I677" s="65" t="inlineStr">
        <is>
          <t>Delivered</t>
        </is>
      </c>
    </row>
    <row r="678">
      <c r="A678" s="64" t="n">
        <v>46246</v>
      </c>
      <c r="B678" s="65" t="inlineStr">
        <is>
          <t>INV-0350</t>
        </is>
      </c>
      <c r="C678" s="65" t="inlineStr">
        <is>
          <t>Delhi Hardware Mart</t>
        </is>
      </c>
      <c r="D678" s="65" t="inlineStr">
        <is>
          <t>Refined Oil 15L</t>
        </is>
      </c>
      <c r="E678" s="66" t="n">
        <v>1</v>
      </c>
      <c r="I678" s="65" t="inlineStr">
        <is>
          <t>Delivered</t>
        </is>
      </c>
    </row>
    <row r="679">
      <c r="A679" s="64" t="n">
        <v>46246</v>
      </c>
      <c r="B679" s="65" t="inlineStr">
        <is>
          <t>INV-0351</t>
        </is>
      </c>
      <c r="C679" s="65" t="inlineStr">
        <is>
          <t>Walk-in Customer</t>
        </is>
      </c>
      <c r="D679" s="65" t="inlineStr">
        <is>
          <t>Copper Wire 90m</t>
        </is>
      </c>
      <c r="E679" s="66" t="n">
        <v>1</v>
      </c>
      <c r="G679" s="68" t="n">
        <v>0.02</v>
      </c>
      <c r="H679" s="65" t="inlineStr">
        <is>
          <t>Cash</t>
        </is>
      </c>
      <c r="I679" s="65" t="inlineStr">
        <is>
          <t>Delivered</t>
        </is>
      </c>
    </row>
    <row r="680">
      <c r="A680" s="64" t="n">
        <v>46246</v>
      </c>
      <c r="B680" s="65" t="inlineStr">
        <is>
          <t>INV-0351</t>
        </is>
      </c>
      <c r="C680" s="65" t="inlineStr">
        <is>
          <t>Walk-in Customer</t>
        </is>
      </c>
      <c r="D680" s="65" t="inlineStr">
        <is>
          <t>Tea Premium 1kg</t>
        </is>
      </c>
      <c r="E680" s="66" t="n">
        <v>2</v>
      </c>
      <c r="H680" s="65" t="inlineStr">
        <is>
          <t>Cash</t>
        </is>
      </c>
      <c r="I680" s="65" t="inlineStr">
        <is>
          <t>Delivered</t>
        </is>
      </c>
    </row>
    <row r="681">
      <c r="A681" s="64" t="n">
        <v>46246</v>
      </c>
      <c r="B681" s="65" t="inlineStr">
        <is>
          <t>INV-0351</t>
        </is>
      </c>
      <c r="C681" s="65" t="inlineStr">
        <is>
          <t>Walk-in Customer</t>
        </is>
      </c>
      <c r="D681" s="65" t="inlineStr">
        <is>
          <t>Toothpaste 150g x12</t>
        </is>
      </c>
      <c r="E681" s="66" t="n">
        <v>2</v>
      </c>
      <c r="H681" s="65" t="inlineStr">
        <is>
          <t>Cash</t>
        </is>
      </c>
      <c r="I681" s="65" t="inlineStr">
        <is>
          <t>Delivered</t>
        </is>
      </c>
    </row>
    <row r="682">
      <c r="A682" s="64" t="n">
        <v>46247</v>
      </c>
      <c r="B682" s="65" t="inlineStr">
        <is>
          <t>INV-0353</t>
        </is>
      </c>
      <c r="C682" s="65" t="inlineStr">
        <is>
          <t>FMCG Distributors</t>
        </is>
      </c>
      <c r="D682" s="65" t="inlineStr">
        <is>
          <t>Cement 50kg</t>
        </is>
      </c>
      <c r="E682" s="66" t="n">
        <v>6</v>
      </c>
      <c r="G682" s="68" t="n">
        <v>0.02</v>
      </c>
      <c r="I682" s="65" t="inlineStr">
        <is>
          <t>Delivered</t>
        </is>
      </c>
    </row>
    <row r="683">
      <c r="A683" s="64" t="n">
        <v>46247</v>
      </c>
      <c r="B683" s="65" t="inlineStr">
        <is>
          <t>INV-0353</t>
        </is>
      </c>
      <c r="C683" s="65" t="inlineStr">
        <is>
          <t>FMCG Distributors</t>
        </is>
      </c>
      <c r="D683" s="65" t="inlineStr">
        <is>
          <t>LED Bulb 9W</t>
        </is>
      </c>
      <c r="E683" s="66" t="n">
        <v>23</v>
      </c>
      <c r="I683" s="65" t="inlineStr">
        <is>
          <t>Delivered</t>
        </is>
      </c>
    </row>
    <row r="684">
      <c r="A684" s="64" t="n">
        <v>46247</v>
      </c>
      <c r="B684" s="65" t="inlineStr">
        <is>
          <t>INV-0354</t>
        </is>
      </c>
      <c r="C684" s="65" t="inlineStr">
        <is>
          <t>Sharma Kirana Store</t>
        </is>
      </c>
      <c r="D684" s="65" t="inlineStr">
        <is>
          <t>Detergent 5kg</t>
        </is>
      </c>
      <c r="E684" s="66" t="n">
        <v>2</v>
      </c>
      <c r="I684" s="65" t="inlineStr">
        <is>
          <t>Delivered</t>
        </is>
      </c>
    </row>
    <row r="685">
      <c r="A685" s="64" t="n">
        <v>46247</v>
      </c>
      <c r="B685" s="65" t="inlineStr">
        <is>
          <t>INV-0355</t>
        </is>
      </c>
      <c r="C685" s="65" t="inlineStr">
        <is>
          <t>Walk-in Customer</t>
        </is>
      </c>
      <c r="D685" s="65" t="inlineStr">
        <is>
          <t>Tea Premium 1kg</t>
        </is>
      </c>
      <c r="E685" s="66" t="n">
        <v>4</v>
      </c>
      <c r="H685" s="65" t="inlineStr">
        <is>
          <t>Cash</t>
        </is>
      </c>
      <c r="I685" s="65" t="inlineStr">
        <is>
          <t>Delivered</t>
        </is>
      </c>
    </row>
    <row r="686">
      <c r="A686" s="64" t="n">
        <v>46247</v>
      </c>
      <c r="B686" s="65" t="inlineStr">
        <is>
          <t>INV-0355</t>
        </is>
      </c>
      <c r="C686" s="65" t="inlineStr">
        <is>
          <t>Walk-in Customer</t>
        </is>
      </c>
      <c r="D686" s="65" t="inlineStr">
        <is>
          <t>Toothpaste 150g x12</t>
        </is>
      </c>
      <c r="E686" s="66" t="n">
        <v>1</v>
      </c>
      <c r="G686" s="68" t="n">
        <v>0.02</v>
      </c>
      <c r="H686" s="65" t="inlineStr">
        <is>
          <t>Cash</t>
        </is>
      </c>
      <c r="I686" s="65" t="inlineStr">
        <is>
          <t>Delivered</t>
        </is>
      </c>
    </row>
    <row r="687">
      <c r="A687" s="64" t="n">
        <v>46247</v>
      </c>
      <c r="B687" s="65" t="inlineStr">
        <is>
          <t>INV-0356</t>
        </is>
      </c>
      <c r="C687" s="65" t="inlineStr">
        <is>
          <t>Walk-in Customer</t>
        </is>
      </c>
      <c r="D687" s="65" t="inlineStr">
        <is>
          <t>Copper Wire 90m</t>
        </is>
      </c>
      <c r="E687" s="66" t="n">
        <v>1</v>
      </c>
      <c r="H687" s="65" t="inlineStr">
        <is>
          <t>Cash</t>
        </is>
      </c>
      <c r="I687" s="65" t="inlineStr">
        <is>
          <t>Delivered</t>
        </is>
      </c>
    </row>
    <row r="688">
      <c r="A688" s="64" t="n">
        <v>46247</v>
      </c>
      <c r="B688" s="65" t="inlineStr">
        <is>
          <t>INV-0356</t>
        </is>
      </c>
      <c r="C688" s="65" t="inlineStr">
        <is>
          <t>Walk-in Customer</t>
        </is>
      </c>
      <c r="D688" s="65" t="inlineStr">
        <is>
          <t>Detergent 5kg</t>
        </is>
      </c>
      <c r="E688" s="66" t="n">
        <v>3</v>
      </c>
      <c r="H688" s="65" t="inlineStr">
        <is>
          <t>Cash</t>
        </is>
      </c>
      <c r="I688" s="65" t="inlineStr">
        <is>
          <t>Delivered</t>
        </is>
      </c>
    </row>
    <row r="689">
      <c r="A689" s="64" t="n">
        <v>46248</v>
      </c>
      <c r="B689" s="65" t="inlineStr">
        <is>
          <t>INV-0357</t>
        </is>
      </c>
      <c r="C689" s="65" t="inlineStr">
        <is>
          <t>FMCG Distributors</t>
        </is>
      </c>
      <c r="D689" s="65" t="inlineStr">
        <is>
          <t>Tea Premium 1kg</t>
        </is>
      </c>
      <c r="E689" s="66" t="n">
        <v>3</v>
      </c>
      <c r="G689" s="68" t="n">
        <v>0.05</v>
      </c>
      <c r="I689" s="65" t="inlineStr">
        <is>
          <t>Delivered</t>
        </is>
      </c>
    </row>
    <row r="690">
      <c r="A690" s="64" t="n">
        <v>46248</v>
      </c>
      <c r="B690" s="65" t="inlineStr">
        <is>
          <t>INV-0357</t>
        </is>
      </c>
      <c r="C690" s="65" t="inlineStr">
        <is>
          <t>FMCG Distributors</t>
        </is>
      </c>
      <c r="D690" s="65" t="inlineStr">
        <is>
          <t>Refined Oil 15L</t>
        </is>
      </c>
      <c r="E690" s="66" t="n">
        <v>2</v>
      </c>
      <c r="I690" s="65" t="inlineStr">
        <is>
          <t>Delivered</t>
        </is>
      </c>
    </row>
    <row r="691">
      <c r="A691" s="64" t="n">
        <v>46248</v>
      </c>
      <c r="B691" s="65" t="inlineStr">
        <is>
          <t>INV-0357</t>
        </is>
      </c>
      <c r="C691" s="65" t="inlineStr">
        <is>
          <t>FMCG Distributors</t>
        </is>
      </c>
      <c r="D691" s="65" t="inlineStr">
        <is>
          <t>Toothpaste 150g x12</t>
        </is>
      </c>
      <c r="E691" s="66" t="n">
        <v>1</v>
      </c>
      <c r="I691" s="65" t="inlineStr">
        <is>
          <t>Delivered</t>
        </is>
      </c>
    </row>
    <row r="692">
      <c r="A692" s="64" t="n">
        <v>46248</v>
      </c>
      <c r="B692" s="65" t="inlineStr">
        <is>
          <t>INV-0358</t>
        </is>
      </c>
      <c r="C692" s="65" t="inlineStr">
        <is>
          <t>FMCG Distributors</t>
        </is>
      </c>
      <c r="D692" s="65" t="inlineStr">
        <is>
          <t>Refined Oil 15L</t>
        </is>
      </c>
      <c r="E692" s="66" t="n">
        <v>2</v>
      </c>
      <c r="I692" s="65" t="inlineStr">
        <is>
          <t>Delivered</t>
        </is>
      </c>
    </row>
    <row r="693">
      <c r="A693" s="64" t="n">
        <v>46248</v>
      </c>
      <c r="B693" s="65" t="inlineStr">
        <is>
          <t>INV-0358</t>
        </is>
      </c>
      <c r="C693" s="65" t="inlineStr">
        <is>
          <t>FMCG Distributors</t>
        </is>
      </c>
      <c r="D693" s="65" t="inlineStr">
        <is>
          <t>LED Bulb 9W</t>
        </is>
      </c>
      <c r="E693" s="66" t="n">
        <v>18</v>
      </c>
      <c r="I693" s="65" t="inlineStr">
        <is>
          <t>Delivered</t>
        </is>
      </c>
    </row>
    <row r="694">
      <c r="A694" s="64" t="n">
        <v>46248</v>
      </c>
      <c r="B694" s="65" t="inlineStr">
        <is>
          <t>INV-0358</t>
        </is>
      </c>
      <c r="C694" s="65" t="inlineStr">
        <is>
          <t>FMCG Distributors</t>
        </is>
      </c>
      <c r="D694" s="65" t="inlineStr">
        <is>
          <t>Ceiling Fan 1200mm</t>
        </is>
      </c>
      <c r="E694" s="66" t="n">
        <v>1</v>
      </c>
      <c r="I694" s="65" t="inlineStr">
        <is>
          <t>Delivered</t>
        </is>
      </c>
    </row>
    <row r="695">
      <c r="A695" s="64" t="n">
        <v>46249</v>
      </c>
      <c r="B695" s="65" t="inlineStr">
        <is>
          <t>INV-0359</t>
        </is>
      </c>
      <c r="C695" s="65" t="inlineStr">
        <is>
          <t>Mehta Constructions</t>
        </is>
      </c>
      <c r="D695" s="65" t="inlineStr">
        <is>
          <t>Sugar 50kg</t>
        </is>
      </c>
      <c r="E695" s="66" t="n">
        <v>1</v>
      </c>
      <c r="G695" s="68" t="n">
        <v>0.02</v>
      </c>
      <c r="I695" s="65" t="inlineStr">
        <is>
          <t>Delivered</t>
        </is>
      </c>
    </row>
    <row r="696">
      <c r="A696" s="64" t="n">
        <v>46249</v>
      </c>
      <c r="B696" s="65" t="inlineStr">
        <is>
          <t>INV-0359</t>
        </is>
      </c>
      <c r="C696" s="65" t="inlineStr">
        <is>
          <t>Mehta Constructions</t>
        </is>
      </c>
      <c r="D696" s="65" t="inlineStr">
        <is>
          <t>Refined Oil 15L</t>
        </is>
      </c>
      <c r="E696" s="66" t="n">
        <v>1</v>
      </c>
      <c r="I696" s="65" t="inlineStr">
        <is>
          <t>Delivered</t>
        </is>
      </c>
    </row>
    <row r="697">
      <c r="A697" s="64" t="n">
        <v>46249</v>
      </c>
      <c r="B697" s="65" t="inlineStr">
        <is>
          <t>INV-0360</t>
        </is>
      </c>
      <c r="C697" s="65" t="inlineStr">
        <is>
          <t>Walk-in Customer</t>
        </is>
      </c>
      <c r="D697" s="65" t="inlineStr">
        <is>
          <t>Basmati Rice 25kg</t>
        </is>
      </c>
      <c r="E697" s="66" t="n">
        <v>1</v>
      </c>
      <c r="H697" s="65" t="inlineStr">
        <is>
          <t>Cash</t>
        </is>
      </c>
      <c r="I697" s="65" t="inlineStr">
        <is>
          <t>Delivered</t>
        </is>
      </c>
    </row>
    <row r="698">
      <c r="A698" s="64" t="n">
        <v>46249</v>
      </c>
      <c r="B698" s="65" t="inlineStr">
        <is>
          <t>INV-0360</t>
        </is>
      </c>
      <c r="C698" s="65" t="inlineStr">
        <is>
          <t>Walk-in Customer</t>
        </is>
      </c>
      <c r="D698" s="65" t="inlineStr">
        <is>
          <t>Cement 50kg</t>
        </is>
      </c>
      <c r="E698" s="66" t="n">
        <v>2</v>
      </c>
      <c r="G698" s="68" t="n">
        <v>0.05</v>
      </c>
      <c r="H698" s="65" t="inlineStr">
        <is>
          <t>Cash</t>
        </is>
      </c>
      <c r="I698" s="65" t="inlineStr">
        <is>
          <t>Delivered</t>
        </is>
      </c>
    </row>
    <row r="699">
      <c r="A699" s="64" t="n">
        <v>46249</v>
      </c>
      <c r="B699" s="65" t="inlineStr">
        <is>
          <t>INV-0361</t>
        </is>
      </c>
      <c r="C699" s="65" t="inlineStr">
        <is>
          <t>Walk-in Customer</t>
        </is>
      </c>
      <c r="D699" s="65" t="inlineStr">
        <is>
          <t>Ceiling Fan 1200mm</t>
        </is>
      </c>
      <c r="E699" s="66" t="n">
        <v>1</v>
      </c>
      <c r="H699" s="65" t="inlineStr">
        <is>
          <t>Cash</t>
        </is>
      </c>
      <c r="I699" s="65" t="inlineStr">
        <is>
          <t>Delivered</t>
        </is>
      </c>
    </row>
    <row r="700">
      <c r="A700" s="64" t="n">
        <v>46249</v>
      </c>
      <c r="B700" s="65" t="inlineStr">
        <is>
          <t>INV-0361</t>
        </is>
      </c>
      <c r="C700" s="65" t="inlineStr">
        <is>
          <t>Walk-in Customer</t>
        </is>
      </c>
      <c r="D700" s="65" t="inlineStr">
        <is>
          <t>Sugar 50kg</t>
        </is>
      </c>
      <c r="E700" s="66" t="n">
        <v>1</v>
      </c>
      <c r="H700" s="65" t="inlineStr">
        <is>
          <t>Cash</t>
        </is>
      </c>
      <c r="I700" s="65" t="inlineStr">
        <is>
          <t>Delivered</t>
        </is>
      </c>
    </row>
    <row r="701">
      <c r="A701" s="64" t="n">
        <v>46249</v>
      </c>
      <c r="B701" s="65" t="inlineStr">
        <is>
          <t>INV-0361</t>
        </is>
      </c>
      <c r="C701" s="65" t="inlineStr">
        <is>
          <t>Walk-in Customer</t>
        </is>
      </c>
      <c r="D701" s="65" t="inlineStr">
        <is>
          <t>Basmati Rice 25kg</t>
        </is>
      </c>
      <c r="E701" s="66" t="n">
        <v>1</v>
      </c>
      <c r="G701" s="68" t="n">
        <v>0.02</v>
      </c>
      <c r="H701" s="65" t="inlineStr">
        <is>
          <t>Cash</t>
        </is>
      </c>
      <c r="I701" s="65" t="inlineStr">
        <is>
          <t>Delivered</t>
        </is>
      </c>
    </row>
    <row r="702">
      <c r="A702" s="64" t="n">
        <v>46251</v>
      </c>
      <c r="B702" s="65" t="inlineStr">
        <is>
          <t>INV-0362</t>
        </is>
      </c>
      <c r="C702" s="65" t="inlineStr">
        <is>
          <t>Walk-in Customer</t>
        </is>
      </c>
      <c r="D702" s="65" t="inlineStr">
        <is>
          <t>Refined Oil 15L</t>
        </is>
      </c>
      <c r="E702" s="66" t="n">
        <v>1</v>
      </c>
      <c r="G702" s="68" t="n">
        <v>0.05</v>
      </c>
      <c r="H702" s="65" t="inlineStr">
        <is>
          <t>Cash</t>
        </is>
      </c>
      <c r="I702" s="65" t="inlineStr">
        <is>
          <t>Delivered</t>
        </is>
      </c>
    </row>
    <row r="703">
      <c r="A703" s="64" t="n">
        <v>46251</v>
      </c>
      <c r="B703" s="65" t="inlineStr">
        <is>
          <t>INV-0363</t>
        </is>
      </c>
      <c r="C703" s="65" t="inlineStr">
        <is>
          <t>Delhi Hardware Mart</t>
        </is>
      </c>
      <c r="D703" s="65" t="inlineStr">
        <is>
          <t>PVC Pipe 1in 6m</t>
        </is>
      </c>
      <c r="E703" s="66" t="n">
        <v>4</v>
      </c>
      <c r="G703" s="68" t="n">
        <v>0.02</v>
      </c>
      <c r="H703" s="65" t="inlineStr">
        <is>
          <t>Bank</t>
        </is>
      </c>
      <c r="I703" s="65" t="inlineStr">
        <is>
          <t>Delivered</t>
        </is>
      </c>
    </row>
    <row r="704">
      <c r="A704" s="64" t="n">
        <v>46251</v>
      </c>
      <c r="B704" s="65" t="inlineStr">
        <is>
          <t>INV-0364</t>
        </is>
      </c>
      <c r="C704" s="65" t="inlineStr">
        <is>
          <t>Gupta Electricals</t>
        </is>
      </c>
      <c r="D704" s="65" t="inlineStr">
        <is>
          <t>Tea Premium 1kg</t>
        </is>
      </c>
      <c r="E704" s="66" t="n">
        <v>2</v>
      </c>
      <c r="I704" s="65" t="inlineStr">
        <is>
          <t>Delivered</t>
        </is>
      </c>
    </row>
    <row r="705">
      <c r="A705" s="64" t="n">
        <v>46251</v>
      </c>
      <c r="B705" s="65" t="inlineStr">
        <is>
          <t>INV-0364</t>
        </is>
      </c>
      <c r="C705" s="65" t="inlineStr">
        <is>
          <t>Gupta Electricals</t>
        </is>
      </c>
      <c r="D705" s="65" t="inlineStr">
        <is>
          <t>Sugar 50kg</t>
        </is>
      </c>
      <c r="E705" s="66" t="n">
        <v>1</v>
      </c>
      <c r="I705" s="65" t="inlineStr">
        <is>
          <t>Delivered</t>
        </is>
      </c>
    </row>
    <row r="706">
      <c r="A706" s="64" t="n">
        <v>46252</v>
      </c>
      <c r="B706" s="65" t="inlineStr">
        <is>
          <t>INV-0365</t>
        </is>
      </c>
      <c r="C706" s="65" t="inlineStr">
        <is>
          <t>Sharma Kirana Store</t>
        </is>
      </c>
      <c r="D706" s="65" t="inlineStr">
        <is>
          <t>LED Bulb 9W</t>
        </is>
      </c>
      <c r="E706" s="66" t="n">
        <v>20</v>
      </c>
      <c r="I706" s="65" t="inlineStr">
        <is>
          <t>Delivered</t>
        </is>
      </c>
    </row>
    <row r="707">
      <c r="A707" s="64" t="n">
        <v>46252</v>
      </c>
      <c r="B707" s="65" t="inlineStr">
        <is>
          <t>INV-0366</t>
        </is>
      </c>
      <c r="C707" s="65" t="inlineStr">
        <is>
          <t>Mehta Constructions</t>
        </is>
      </c>
      <c r="D707" s="65" t="inlineStr">
        <is>
          <t>Ceiling Fan 1200mm</t>
        </is>
      </c>
      <c r="E707" s="66" t="n">
        <v>1</v>
      </c>
      <c r="G707" s="68" t="n">
        <v>0.05</v>
      </c>
      <c r="I707" s="65" t="inlineStr">
        <is>
          <t>Delivered</t>
        </is>
      </c>
    </row>
    <row r="708">
      <c r="A708" s="64" t="n">
        <v>46252</v>
      </c>
      <c r="B708" s="65" t="inlineStr">
        <is>
          <t>INV-0366</t>
        </is>
      </c>
      <c r="C708" s="65" t="inlineStr">
        <is>
          <t>Mehta Constructions</t>
        </is>
      </c>
      <c r="D708" s="65" t="inlineStr">
        <is>
          <t>Basmati Rice 25kg</t>
        </is>
      </c>
      <c r="E708" s="66" t="n">
        <v>1</v>
      </c>
      <c r="I708" s="65" t="inlineStr">
        <is>
          <t>Delivered</t>
        </is>
      </c>
    </row>
    <row r="709">
      <c r="A709" s="64" t="n">
        <v>46253</v>
      </c>
      <c r="B709" s="65" t="inlineStr">
        <is>
          <t>INV-0367</t>
        </is>
      </c>
      <c r="C709" s="65" t="inlineStr">
        <is>
          <t>Mehta Constructions</t>
        </is>
      </c>
      <c r="D709" s="65" t="inlineStr">
        <is>
          <t>Toothpaste 150g x12</t>
        </is>
      </c>
      <c r="E709" s="66" t="n">
        <v>1</v>
      </c>
      <c r="H709" s="65" t="inlineStr">
        <is>
          <t>UPI</t>
        </is>
      </c>
      <c r="I709" s="65" t="inlineStr">
        <is>
          <t>Delivered</t>
        </is>
      </c>
    </row>
    <row r="710">
      <c r="A710" s="64" t="n">
        <v>46253</v>
      </c>
      <c r="B710" s="65" t="inlineStr">
        <is>
          <t>INV-0367</t>
        </is>
      </c>
      <c r="C710" s="65" t="inlineStr">
        <is>
          <t>Mehta Constructions</t>
        </is>
      </c>
      <c r="D710" s="65" t="inlineStr">
        <is>
          <t>PVC Pipe 1in 6m</t>
        </is>
      </c>
      <c r="E710" s="66" t="n">
        <v>5</v>
      </c>
      <c r="G710" s="68" t="n">
        <v>0.02</v>
      </c>
      <c r="H710" s="65" t="inlineStr">
        <is>
          <t>UPI</t>
        </is>
      </c>
      <c r="I710" s="65" t="inlineStr">
        <is>
          <t>Delivered</t>
        </is>
      </c>
    </row>
    <row r="711">
      <c r="A711" s="64" t="n">
        <v>46253</v>
      </c>
      <c r="B711" s="65" t="inlineStr">
        <is>
          <t>INV-0367</t>
        </is>
      </c>
      <c r="C711" s="65" t="inlineStr">
        <is>
          <t>Mehta Constructions</t>
        </is>
      </c>
      <c r="D711" s="65" t="inlineStr">
        <is>
          <t>LED Bulb 9W</t>
        </is>
      </c>
      <c r="E711" s="66" t="n">
        <v>22</v>
      </c>
      <c r="H711" s="65" t="inlineStr">
        <is>
          <t>UPI</t>
        </is>
      </c>
      <c r="I711" s="65" t="inlineStr">
        <is>
          <t>Delivered</t>
        </is>
      </c>
    </row>
    <row r="712">
      <c r="A712" s="64" t="n">
        <v>46253</v>
      </c>
      <c r="B712" s="65" t="inlineStr">
        <is>
          <t>INV-0368</t>
        </is>
      </c>
      <c r="C712" s="65" t="inlineStr">
        <is>
          <t>Sharma Kirana Store</t>
        </is>
      </c>
      <c r="D712" s="65" t="inlineStr">
        <is>
          <t>Ceiling Fan 1200mm</t>
        </is>
      </c>
      <c r="E712" s="66" t="n">
        <v>1</v>
      </c>
      <c r="I712" s="65" t="inlineStr">
        <is>
          <t>Delivered</t>
        </is>
      </c>
    </row>
    <row r="713">
      <c r="A713" s="64" t="n">
        <v>46253</v>
      </c>
      <c r="B713" s="65" t="inlineStr">
        <is>
          <t>INV-0368</t>
        </is>
      </c>
      <c r="C713" s="65" t="inlineStr">
        <is>
          <t>Sharma Kirana Store</t>
        </is>
      </c>
      <c r="D713" s="65" t="inlineStr">
        <is>
          <t>Cement 50kg</t>
        </is>
      </c>
      <c r="E713" s="66" t="n">
        <v>10</v>
      </c>
      <c r="I713" s="65" t="inlineStr">
        <is>
          <t>Delivered</t>
        </is>
      </c>
    </row>
    <row r="714">
      <c r="A714" s="64" t="n">
        <v>46253</v>
      </c>
      <c r="B714" s="65" t="inlineStr">
        <is>
          <t>INV-0369</t>
        </is>
      </c>
      <c r="C714" s="65" t="inlineStr">
        <is>
          <t>Gupta Electricals</t>
        </is>
      </c>
      <c r="D714" s="65" t="inlineStr">
        <is>
          <t>Ceiling Fan 1200mm</t>
        </is>
      </c>
      <c r="E714" s="66" t="n">
        <v>1</v>
      </c>
      <c r="G714" s="68" t="n">
        <v>0.05</v>
      </c>
      <c r="H714" s="65" t="inlineStr">
        <is>
          <t>Bank</t>
        </is>
      </c>
      <c r="I714" s="65" t="inlineStr">
        <is>
          <t>Delivered</t>
        </is>
      </c>
    </row>
    <row r="715">
      <c r="A715" s="64" t="n">
        <v>46253</v>
      </c>
      <c r="B715" s="65" t="inlineStr">
        <is>
          <t>INV-0370</t>
        </is>
      </c>
      <c r="C715" s="65" t="inlineStr">
        <is>
          <t>FMCG Distributors</t>
        </is>
      </c>
      <c r="D715" s="65" t="inlineStr">
        <is>
          <t>Copper Wire 90m</t>
        </is>
      </c>
      <c r="E715" s="66" t="n">
        <v>1</v>
      </c>
      <c r="G715" s="68" t="n">
        <v>0.02</v>
      </c>
      <c r="H715" s="65" t="inlineStr">
        <is>
          <t>UPI</t>
        </is>
      </c>
      <c r="I715" s="65" t="inlineStr">
        <is>
          <t>Delivered</t>
        </is>
      </c>
    </row>
    <row r="716">
      <c r="A716" s="64" t="n">
        <v>46253</v>
      </c>
      <c r="B716" s="65" t="inlineStr">
        <is>
          <t>INV-0370</t>
        </is>
      </c>
      <c r="C716" s="65" t="inlineStr">
        <is>
          <t>FMCG Distributors</t>
        </is>
      </c>
      <c r="D716" s="65" t="inlineStr">
        <is>
          <t>Cement 50kg</t>
        </is>
      </c>
      <c r="E716" s="66" t="n">
        <v>7</v>
      </c>
      <c r="G716" s="68" t="n">
        <v>0.05</v>
      </c>
      <c r="H716" s="65" t="inlineStr">
        <is>
          <t>UPI</t>
        </is>
      </c>
      <c r="I716" s="65" t="inlineStr">
        <is>
          <t>Delivered</t>
        </is>
      </c>
    </row>
    <row r="717">
      <c r="A717" s="64" t="n">
        <v>46254</v>
      </c>
      <c r="B717" s="65" t="inlineStr">
        <is>
          <t>INV-0371</t>
        </is>
      </c>
      <c r="C717" s="65" t="inlineStr">
        <is>
          <t>Walk-in Customer</t>
        </is>
      </c>
      <c r="D717" s="65" t="inlineStr">
        <is>
          <t>Toothpaste 150g x12</t>
        </is>
      </c>
      <c r="E717" s="66" t="n">
        <v>2</v>
      </c>
      <c r="H717" s="65" t="inlineStr">
        <is>
          <t>Cash</t>
        </is>
      </c>
      <c r="I717" s="65" t="inlineStr">
        <is>
          <t>Delivered</t>
        </is>
      </c>
    </row>
    <row r="718">
      <c r="A718" s="64" t="n">
        <v>46254</v>
      </c>
      <c r="B718" s="65" t="inlineStr">
        <is>
          <t>INV-0371</t>
        </is>
      </c>
      <c r="C718" s="65" t="inlineStr">
        <is>
          <t>Walk-in Customer</t>
        </is>
      </c>
      <c r="D718" s="65" t="inlineStr">
        <is>
          <t>Sugar 50kg</t>
        </is>
      </c>
      <c r="E718" s="66" t="n">
        <v>1</v>
      </c>
      <c r="H718" s="65" t="inlineStr">
        <is>
          <t>Cash</t>
        </is>
      </c>
      <c r="I718" s="65" t="inlineStr">
        <is>
          <t>Delivered</t>
        </is>
      </c>
    </row>
    <row r="719">
      <c r="A719" s="64" t="n">
        <v>46254</v>
      </c>
      <c r="B719" s="65" t="inlineStr">
        <is>
          <t>INV-0371</t>
        </is>
      </c>
      <c r="C719" s="65" t="inlineStr">
        <is>
          <t>Walk-in Customer</t>
        </is>
      </c>
      <c r="D719" s="65" t="inlineStr">
        <is>
          <t>LED Bulb 9W</t>
        </is>
      </c>
      <c r="E719" s="66" t="n">
        <v>6</v>
      </c>
      <c r="G719" s="68" t="n">
        <v>0.05</v>
      </c>
      <c r="H719" s="65" t="inlineStr">
        <is>
          <t>Cash</t>
        </is>
      </c>
      <c r="I719" s="65" t="inlineStr">
        <is>
          <t>Delivered</t>
        </is>
      </c>
    </row>
    <row r="720">
      <c r="A720" s="64" t="n">
        <v>46254</v>
      </c>
      <c r="B720" s="65" t="inlineStr">
        <is>
          <t>INV-0372</t>
        </is>
      </c>
      <c r="C720" s="65" t="inlineStr">
        <is>
          <t>Walk-in Customer</t>
        </is>
      </c>
      <c r="D720" s="65" t="inlineStr">
        <is>
          <t>Detergent 5kg</t>
        </is>
      </c>
      <c r="E720" s="66" t="n">
        <v>3</v>
      </c>
      <c r="H720" s="65" t="inlineStr">
        <is>
          <t>Cash</t>
        </is>
      </c>
      <c r="I720" s="65" t="inlineStr">
        <is>
          <t>Delivered</t>
        </is>
      </c>
    </row>
    <row r="721">
      <c r="A721" s="64" t="n">
        <v>46254</v>
      </c>
      <c r="B721" s="65" t="inlineStr">
        <is>
          <t>INV-0372</t>
        </is>
      </c>
      <c r="C721" s="65" t="inlineStr">
        <is>
          <t>Walk-in Customer</t>
        </is>
      </c>
      <c r="D721" s="65" t="inlineStr">
        <is>
          <t>Copper Wire 90m</t>
        </is>
      </c>
      <c r="E721" s="66" t="n">
        <v>1</v>
      </c>
      <c r="G721" s="68" t="n">
        <v>0.02</v>
      </c>
      <c r="H721" s="65" t="inlineStr">
        <is>
          <t>Cash</t>
        </is>
      </c>
      <c r="I721" s="65" t="inlineStr">
        <is>
          <t>Delivered</t>
        </is>
      </c>
    </row>
    <row r="722">
      <c r="A722" s="64" t="n">
        <v>46254</v>
      </c>
      <c r="B722" s="65" t="inlineStr">
        <is>
          <t>INV-0373</t>
        </is>
      </c>
      <c r="C722" s="65" t="inlineStr">
        <is>
          <t>Walk-in Customer</t>
        </is>
      </c>
      <c r="D722" s="65" t="inlineStr">
        <is>
          <t>Sugar 50kg</t>
        </is>
      </c>
      <c r="E722" s="66" t="n">
        <v>1</v>
      </c>
      <c r="H722" s="65" t="inlineStr">
        <is>
          <t>Cash</t>
        </is>
      </c>
      <c r="I722" s="65" t="inlineStr">
        <is>
          <t>Delivered</t>
        </is>
      </c>
    </row>
    <row r="723">
      <c r="A723" s="64" t="n">
        <v>46254</v>
      </c>
      <c r="B723" s="65" t="inlineStr">
        <is>
          <t>INV-0373</t>
        </is>
      </c>
      <c r="C723" s="65" t="inlineStr">
        <is>
          <t>Walk-in Customer</t>
        </is>
      </c>
      <c r="D723" s="65" t="inlineStr">
        <is>
          <t>PVC Pipe 1in 6m</t>
        </is>
      </c>
      <c r="E723" s="66" t="n">
        <v>6</v>
      </c>
      <c r="H723" s="65" t="inlineStr">
        <is>
          <t>Cash</t>
        </is>
      </c>
      <c r="I723" s="65" t="inlineStr">
        <is>
          <t>Delivered</t>
        </is>
      </c>
    </row>
    <row r="724">
      <c r="A724" s="64" t="n">
        <v>46254</v>
      </c>
      <c r="B724" s="65" t="inlineStr">
        <is>
          <t>INV-0374</t>
        </is>
      </c>
      <c r="C724" s="65" t="inlineStr">
        <is>
          <t>Walk-in Customer</t>
        </is>
      </c>
      <c r="D724" s="65" t="inlineStr">
        <is>
          <t>Refined Oil 15L</t>
        </is>
      </c>
      <c r="E724" s="66" t="n">
        <v>1</v>
      </c>
      <c r="H724" s="65" t="inlineStr">
        <is>
          <t>Cash</t>
        </is>
      </c>
      <c r="I724" s="65" t="inlineStr">
        <is>
          <t>Delivered</t>
        </is>
      </c>
    </row>
    <row r="725">
      <c r="A725" s="64" t="n">
        <v>46255</v>
      </c>
      <c r="B725" s="65" t="inlineStr">
        <is>
          <t>INV-0375</t>
        </is>
      </c>
      <c r="C725" s="65" t="inlineStr">
        <is>
          <t>Walk-in Customer</t>
        </is>
      </c>
      <c r="D725" s="65" t="inlineStr">
        <is>
          <t>LED Bulb 9W</t>
        </is>
      </c>
      <c r="E725" s="66" t="n">
        <v>13</v>
      </c>
      <c r="H725" s="65" t="inlineStr">
        <is>
          <t>Cash</t>
        </is>
      </c>
      <c r="I725" s="65" t="inlineStr">
        <is>
          <t>Delivered</t>
        </is>
      </c>
    </row>
    <row r="726">
      <c r="A726" s="64" t="n">
        <v>46255</v>
      </c>
      <c r="B726" s="65" t="inlineStr">
        <is>
          <t>INV-0375</t>
        </is>
      </c>
      <c r="C726" s="65" t="inlineStr">
        <is>
          <t>Walk-in Customer</t>
        </is>
      </c>
      <c r="D726" s="65" t="inlineStr">
        <is>
          <t>Sugar 50kg</t>
        </is>
      </c>
      <c r="E726" s="66" t="n">
        <v>1</v>
      </c>
      <c r="H726" s="65" t="inlineStr">
        <is>
          <t>Cash</t>
        </is>
      </c>
      <c r="I726" s="65" t="inlineStr">
        <is>
          <t>Delivered</t>
        </is>
      </c>
    </row>
    <row r="727">
      <c r="A727" s="64" t="n">
        <v>46255</v>
      </c>
      <c r="B727" s="65" t="inlineStr">
        <is>
          <t>INV-0376</t>
        </is>
      </c>
      <c r="C727" s="65" t="inlineStr">
        <is>
          <t>FMCG Distributors</t>
        </is>
      </c>
      <c r="D727" s="65" t="inlineStr">
        <is>
          <t>Copper Wire 90m</t>
        </is>
      </c>
      <c r="E727" s="66" t="n">
        <v>1</v>
      </c>
      <c r="G727" s="68" t="n">
        <v>0.02</v>
      </c>
      <c r="H727" s="65" t="inlineStr">
        <is>
          <t>Bank</t>
        </is>
      </c>
      <c r="I727" s="65" t="inlineStr">
        <is>
          <t>Delivered</t>
        </is>
      </c>
    </row>
    <row r="728">
      <c r="A728" s="64" t="n">
        <v>46255</v>
      </c>
      <c r="B728" s="65" t="inlineStr">
        <is>
          <t>INV-0377</t>
        </is>
      </c>
      <c r="C728" s="65" t="inlineStr">
        <is>
          <t>Mehta Constructions</t>
        </is>
      </c>
      <c r="D728" s="65" t="inlineStr">
        <is>
          <t>Copper Wire 90m</t>
        </is>
      </c>
      <c r="E728" s="66" t="n">
        <v>1</v>
      </c>
      <c r="H728" s="65" t="inlineStr">
        <is>
          <t>UPI</t>
        </is>
      </c>
      <c r="I728" s="65" t="inlineStr">
        <is>
          <t>Delivered</t>
        </is>
      </c>
    </row>
    <row r="729">
      <c r="A729" s="64" t="n">
        <v>46256</v>
      </c>
      <c r="B729" s="65" t="inlineStr">
        <is>
          <t>INV-0378</t>
        </is>
      </c>
      <c r="C729" s="65" t="inlineStr">
        <is>
          <t>Sharma Kirana Store</t>
        </is>
      </c>
      <c r="D729" s="65" t="inlineStr">
        <is>
          <t>Copper Wire 90m</t>
        </is>
      </c>
      <c r="E729" s="66" t="n">
        <v>1</v>
      </c>
      <c r="G729" s="68" t="n">
        <v>0.05</v>
      </c>
      <c r="I729" s="65" t="inlineStr">
        <is>
          <t>Delivered</t>
        </is>
      </c>
    </row>
    <row r="730">
      <c r="A730" s="64" t="n">
        <v>46256</v>
      </c>
      <c r="B730" s="65" t="inlineStr">
        <is>
          <t>INV-0378</t>
        </is>
      </c>
      <c r="C730" s="65" t="inlineStr">
        <is>
          <t>Sharma Kirana Store</t>
        </is>
      </c>
      <c r="D730" s="65" t="inlineStr">
        <is>
          <t>PVC Pipe 1in 6m</t>
        </is>
      </c>
      <c r="E730" s="66" t="n">
        <v>4</v>
      </c>
      <c r="I730" s="65" t="inlineStr">
        <is>
          <t>Delivered</t>
        </is>
      </c>
    </row>
    <row r="731">
      <c r="A731" s="64" t="n">
        <v>46256</v>
      </c>
      <c r="B731" s="65" t="inlineStr">
        <is>
          <t>INV-0379</t>
        </is>
      </c>
      <c r="C731" s="65" t="inlineStr">
        <is>
          <t>Walk-in Customer</t>
        </is>
      </c>
      <c r="D731" s="65" t="inlineStr">
        <is>
          <t>Basmati Rice 25kg</t>
        </is>
      </c>
      <c r="E731" s="66" t="n">
        <v>1</v>
      </c>
      <c r="G731" s="68" t="n">
        <v>0.05</v>
      </c>
      <c r="H731" s="65" t="inlineStr">
        <is>
          <t>Cash</t>
        </is>
      </c>
      <c r="I731" s="65" t="inlineStr">
        <is>
          <t>Delivered</t>
        </is>
      </c>
    </row>
    <row r="732">
      <c r="A732" s="64" t="n">
        <v>46256</v>
      </c>
      <c r="B732" s="65" t="inlineStr">
        <is>
          <t>INV-0379</t>
        </is>
      </c>
      <c r="C732" s="65" t="inlineStr">
        <is>
          <t>Walk-in Customer</t>
        </is>
      </c>
      <c r="D732" s="65" t="inlineStr">
        <is>
          <t>PVC Pipe 1in 6m</t>
        </is>
      </c>
      <c r="E732" s="66" t="n">
        <v>4</v>
      </c>
      <c r="G732" s="68" t="n">
        <v>0.05</v>
      </c>
      <c r="H732" s="65" t="inlineStr">
        <is>
          <t>Cash</t>
        </is>
      </c>
      <c r="I732" s="65" t="inlineStr">
        <is>
          <t>Delivered</t>
        </is>
      </c>
    </row>
    <row r="733">
      <c r="A733" s="64" t="n">
        <v>46256</v>
      </c>
      <c r="B733" s="65" t="inlineStr">
        <is>
          <t>INV-0380</t>
        </is>
      </c>
      <c r="C733" s="65" t="inlineStr">
        <is>
          <t>Delhi Hardware Mart</t>
        </is>
      </c>
      <c r="D733" s="65" t="inlineStr">
        <is>
          <t>Toothpaste 150g x12</t>
        </is>
      </c>
      <c r="E733" s="66" t="n">
        <v>1</v>
      </c>
      <c r="G733" s="68" t="n">
        <v>0.02</v>
      </c>
      <c r="I733" s="65" t="inlineStr">
        <is>
          <t>Delivered</t>
        </is>
      </c>
    </row>
    <row r="734">
      <c r="A734" s="64" t="n">
        <v>46256</v>
      </c>
      <c r="B734" s="65" t="inlineStr">
        <is>
          <t>INV-0380</t>
        </is>
      </c>
      <c r="C734" s="65" t="inlineStr">
        <is>
          <t>Delhi Hardware Mart</t>
        </is>
      </c>
      <c r="D734" s="65" t="inlineStr">
        <is>
          <t>Detergent 5kg</t>
        </is>
      </c>
      <c r="E734" s="66" t="n">
        <v>1</v>
      </c>
      <c r="G734" s="68" t="n">
        <v>0.02</v>
      </c>
      <c r="I734" s="65" t="inlineStr">
        <is>
          <t>Delivered</t>
        </is>
      </c>
    </row>
    <row r="735">
      <c r="A735" s="64" t="n">
        <v>46258</v>
      </c>
      <c r="B735" s="65" t="inlineStr">
        <is>
          <t>INV-0381</t>
        </is>
      </c>
      <c r="C735" s="65" t="inlineStr">
        <is>
          <t>Walk-in Customer</t>
        </is>
      </c>
      <c r="D735" s="65" t="inlineStr">
        <is>
          <t>LED Bulb 9W</t>
        </is>
      </c>
      <c r="E735" s="66" t="n">
        <v>17</v>
      </c>
      <c r="H735" s="65" t="inlineStr">
        <is>
          <t>Cash</t>
        </is>
      </c>
      <c r="I735" s="65" t="inlineStr">
        <is>
          <t>Delivered</t>
        </is>
      </c>
    </row>
    <row r="736">
      <c r="A736" s="64" t="n">
        <v>46258</v>
      </c>
      <c r="B736" s="65" t="inlineStr">
        <is>
          <t>INV-0381</t>
        </is>
      </c>
      <c r="C736" s="65" t="inlineStr">
        <is>
          <t>Walk-in Customer</t>
        </is>
      </c>
      <c r="D736" s="65" t="inlineStr">
        <is>
          <t>Detergent 5kg</t>
        </is>
      </c>
      <c r="E736" s="66" t="n">
        <v>3</v>
      </c>
      <c r="G736" s="68" t="n">
        <v>0.02</v>
      </c>
      <c r="H736" s="65" t="inlineStr">
        <is>
          <t>Cash</t>
        </is>
      </c>
      <c r="I736" s="65" t="inlineStr">
        <is>
          <t>Delivered</t>
        </is>
      </c>
    </row>
    <row r="737">
      <c r="A737" s="64" t="n">
        <v>46258</v>
      </c>
      <c r="B737" s="65" t="inlineStr">
        <is>
          <t>INV-0382</t>
        </is>
      </c>
      <c r="C737" s="65" t="inlineStr">
        <is>
          <t>Walk-in Customer</t>
        </is>
      </c>
      <c r="D737" s="65" t="inlineStr">
        <is>
          <t>Basmati Rice 25kg</t>
        </is>
      </c>
      <c r="E737" s="66" t="n">
        <v>2</v>
      </c>
      <c r="G737" s="68" t="n">
        <v>0.02</v>
      </c>
      <c r="H737" s="65" t="inlineStr">
        <is>
          <t>Cash</t>
        </is>
      </c>
      <c r="I737" s="65" t="inlineStr">
        <is>
          <t>Delivered</t>
        </is>
      </c>
    </row>
    <row r="738">
      <c r="A738" s="64" t="n">
        <v>46258</v>
      </c>
      <c r="B738" s="65" t="inlineStr">
        <is>
          <t>INV-0382</t>
        </is>
      </c>
      <c r="C738" s="65" t="inlineStr">
        <is>
          <t>Walk-in Customer</t>
        </is>
      </c>
      <c r="D738" s="65" t="inlineStr">
        <is>
          <t>Detergent 5kg</t>
        </is>
      </c>
      <c r="E738" s="66" t="n">
        <v>2</v>
      </c>
      <c r="H738" s="65" t="inlineStr">
        <is>
          <t>Cash</t>
        </is>
      </c>
      <c r="I738" s="65" t="inlineStr">
        <is>
          <t>Delivered</t>
        </is>
      </c>
    </row>
    <row r="739">
      <c r="A739" s="64" t="n">
        <v>46259</v>
      </c>
      <c r="B739" s="65" t="inlineStr">
        <is>
          <t>INV-0383</t>
        </is>
      </c>
      <c r="C739" s="65" t="inlineStr">
        <is>
          <t>Walk-in Customer</t>
        </is>
      </c>
      <c r="D739" s="65" t="inlineStr">
        <is>
          <t>Cement 50kg</t>
        </is>
      </c>
      <c r="E739" s="66" t="n">
        <v>4</v>
      </c>
      <c r="G739" s="68" t="n">
        <v>0.05</v>
      </c>
      <c r="H739" s="65" t="inlineStr">
        <is>
          <t>Cash</t>
        </is>
      </c>
      <c r="I739" s="65" t="inlineStr">
        <is>
          <t>Delivered</t>
        </is>
      </c>
    </row>
    <row r="740">
      <c r="A740" s="64" t="n">
        <v>46259</v>
      </c>
      <c r="B740" s="65" t="inlineStr">
        <is>
          <t>INV-0383</t>
        </is>
      </c>
      <c r="C740" s="65" t="inlineStr">
        <is>
          <t>Walk-in Customer</t>
        </is>
      </c>
      <c r="D740" s="65" t="inlineStr">
        <is>
          <t>Refined Oil 15L</t>
        </is>
      </c>
      <c r="E740" s="66" t="n">
        <v>1</v>
      </c>
      <c r="H740" s="65" t="inlineStr">
        <is>
          <t>Cash</t>
        </is>
      </c>
      <c r="I740" s="65" t="inlineStr">
        <is>
          <t>Delivered</t>
        </is>
      </c>
    </row>
    <row r="741">
      <c r="A741" s="64" t="n">
        <v>46259</v>
      </c>
      <c r="B741" s="65" t="inlineStr">
        <is>
          <t>INV-0383</t>
        </is>
      </c>
      <c r="C741" s="65" t="inlineStr">
        <is>
          <t>Walk-in Customer</t>
        </is>
      </c>
      <c r="D741" s="65" t="inlineStr">
        <is>
          <t>Ceiling Fan 1200mm</t>
        </is>
      </c>
      <c r="E741" s="66" t="n">
        <v>1</v>
      </c>
      <c r="H741" s="65" t="inlineStr">
        <is>
          <t>Cash</t>
        </is>
      </c>
      <c r="I741" s="65" t="inlineStr">
        <is>
          <t>Delivered</t>
        </is>
      </c>
    </row>
    <row r="742">
      <c r="A742" s="64" t="n">
        <v>46259</v>
      </c>
      <c r="B742" s="65" t="inlineStr">
        <is>
          <t>INV-0384</t>
        </is>
      </c>
      <c r="C742" s="65" t="inlineStr">
        <is>
          <t>Gupta Electricals</t>
        </is>
      </c>
      <c r="D742" s="65" t="inlineStr">
        <is>
          <t>LED Bulb 9W</t>
        </is>
      </c>
      <c r="E742" s="66" t="n">
        <v>14</v>
      </c>
      <c r="H742" s="65" t="inlineStr">
        <is>
          <t>UPI</t>
        </is>
      </c>
      <c r="I742" s="65" t="inlineStr">
        <is>
          <t>Delivered</t>
        </is>
      </c>
    </row>
    <row r="743">
      <c r="A743" s="64" t="n">
        <v>46259</v>
      </c>
      <c r="B743" s="65" t="inlineStr">
        <is>
          <t>INV-0384</t>
        </is>
      </c>
      <c r="C743" s="65" t="inlineStr">
        <is>
          <t>Gupta Electricals</t>
        </is>
      </c>
      <c r="D743" s="65" t="inlineStr">
        <is>
          <t>PVC Pipe 1in 6m</t>
        </is>
      </c>
      <c r="E743" s="66" t="n">
        <v>2</v>
      </c>
      <c r="G743" s="68" t="n">
        <v>0.05</v>
      </c>
      <c r="H743" s="65" t="inlineStr">
        <is>
          <t>UPI</t>
        </is>
      </c>
      <c r="I743" s="65" t="inlineStr">
        <is>
          <t>Delivered</t>
        </is>
      </c>
    </row>
    <row r="744">
      <c r="A744" s="64" t="n">
        <v>46259</v>
      </c>
      <c r="B744" s="65" t="inlineStr">
        <is>
          <t>INV-0384</t>
        </is>
      </c>
      <c r="C744" s="65" t="inlineStr">
        <is>
          <t>Gupta Electricals</t>
        </is>
      </c>
      <c r="D744" s="65" t="inlineStr">
        <is>
          <t>Ceiling Fan 1200mm</t>
        </is>
      </c>
      <c r="E744" s="66" t="n">
        <v>1</v>
      </c>
      <c r="G744" s="68" t="n">
        <v>0.02</v>
      </c>
      <c r="H744" s="65" t="inlineStr">
        <is>
          <t>UPI</t>
        </is>
      </c>
      <c r="I744" s="65" t="inlineStr">
        <is>
          <t>Delivered</t>
        </is>
      </c>
    </row>
    <row r="745">
      <c r="A745" s="64" t="n">
        <v>46259</v>
      </c>
      <c r="B745" s="65" t="inlineStr">
        <is>
          <t>INV-0385</t>
        </is>
      </c>
      <c r="C745" s="65" t="inlineStr">
        <is>
          <t>Walk-in Customer</t>
        </is>
      </c>
      <c r="D745" s="65" t="inlineStr">
        <is>
          <t>Copper Wire 90m</t>
        </is>
      </c>
      <c r="E745" s="66" t="n">
        <v>1</v>
      </c>
      <c r="G745" s="68" t="n">
        <v>0.02</v>
      </c>
      <c r="H745" s="65" t="inlineStr">
        <is>
          <t>Cash</t>
        </is>
      </c>
      <c r="I745" s="65" t="inlineStr">
        <is>
          <t>Delivered</t>
        </is>
      </c>
    </row>
    <row r="746">
      <c r="A746" s="64" t="n">
        <v>46259</v>
      </c>
      <c r="B746" s="65" t="inlineStr">
        <is>
          <t>INV-0385</t>
        </is>
      </c>
      <c r="C746" s="65" t="inlineStr">
        <is>
          <t>Walk-in Customer</t>
        </is>
      </c>
      <c r="D746" s="65" t="inlineStr">
        <is>
          <t>Refined Oil 15L</t>
        </is>
      </c>
      <c r="E746" s="66" t="n">
        <v>1</v>
      </c>
      <c r="H746" s="65" t="inlineStr">
        <is>
          <t>Cash</t>
        </is>
      </c>
      <c r="I746" s="65" t="inlineStr">
        <is>
          <t>Delivered</t>
        </is>
      </c>
    </row>
    <row r="747">
      <c r="A747" s="64" t="n">
        <v>46259</v>
      </c>
      <c r="B747" s="65" t="inlineStr">
        <is>
          <t>INV-0385</t>
        </is>
      </c>
      <c r="C747" s="65" t="inlineStr">
        <is>
          <t>Walk-in Customer</t>
        </is>
      </c>
      <c r="D747" s="65" t="inlineStr">
        <is>
          <t>Sugar 50kg</t>
        </is>
      </c>
      <c r="E747" s="66" t="n">
        <v>1</v>
      </c>
      <c r="H747" s="65" t="inlineStr">
        <is>
          <t>Cash</t>
        </is>
      </c>
      <c r="I747" s="65" t="inlineStr">
        <is>
          <t>Delivered</t>
        </is>
      </c>
    </row>
    <row r="748">
      <c r="A748" s="64" t="n">
        <v>46260</v>
      </c>
      <c r="B748" s="65" t="inlineStr">
        <is>
          <t>INV-0387</t>
        </is>
      </c>
      <c r="C748" s="65" t="inlineStr">
        <is>
          <t>Walk-in Customer</t>
        </is>
      </c>
      <c r="D748" s="65" t="inlineStr">
        <is>
          <t>Copper Wire 90m</t>
        </is>
      </c>
      <c r="E748" s="66" t="n">
        <v>1</v>
      </c>
      <c r="G748" s="68" t="n">
        <v>0.02</v>
      </c>
      <c r="H748" s="65" t="inlineStr">
        <is>
          <t>Cash</t>
        </is>
      </c>
      <c r="I748" s="65" t="inlineStr">
        <is>
          <t>Delivered</t>
        </is>
      </c>
    </row>
    <row r="749">
      <c r="A749" s="64" t="n">
        <v>46260</v>
      </c>
      <c r="B749" s="65" t="inlineStr">
        <is>
          <t>INV-0387</t>
        </is>
      </c>
      <c r="C749" s="65" t="inlineStr">
        <is>
          <t>Walk-in Customer</t>
        </is>
      </c>
      <c r="D749" s="65" t="inlineStr">
        <is>
          <t>Basmati Rice 25kg</t>
        </is>
      </c>
      <c r="E749" s="66" t="n">
        <v>2</v>
      </c>
      <c r="H749" s="65" t="inlineStr">
        <is>
          <t>Cash</t>
        </is>
      </c>
      <c r="I749" s="65" t="inlineStr">
        <is>
          <t>Delivered</t>
        </is>
      </c>
    </row>
    <row r="750">
      <c r="A750" s="64" t="n">
        <v>46261</v>
      </c>
      <c r="B750" s="65" t="inlineStr">
        <is>
          <t>INV-0389</t>
        </is>
      </c>
      <c r="C750" s="65" t="inlineStr">
        <is>
          <t>FMCG Distributors</t>
        </is>
      </c>
      <c r="D750" s="65" t="inlineStr">
        <is>
          <t>PVC Pipe 1in 6m</t>
        </is>
      </c>
      <c r="E750" s="66" t="n">
        <v>3</v>
      </c>
      <c r="G750" s="68" t="n">
        <v>0.05</v>
      </c>
      <c r="I750" s="65" t="inlineStr">
        <is>
          <t>Delivered</t>
        </is>
      </c>
    </row>
    <row r="751">
      <c r="A751" s="64" t="n">
        <v>46261</v>
      </c>
      <c r="B751" s="65" t="inlineStr">
        <is>
          <t>INV-0389</t>
        </is>
      </c>
      <c r="C751" s="65" t="inlineStr">
        <is>
          <t>FMCG Distributors</t>
        </is>
      </c>
      <c r="D751" s="65" t="inlineStr">
        <is>
          <t>Basmati Rice 25kg</t>
        </is>
      </c>
      <c r="E751" s="66" t="n">
        <v>1</v>
      </c>
      <c r="I751" s="65" t="inlineStr">
        <is>
          <t>Delivered</t>
        </is>
      </c>
    </row>
    <row r="752">
      <c r="A752" s="64" t="n">
        <v>46261</v>
      </c>
      <c r="B752" s="65" t="inlineStr">
        <is>
          <t>INV-0390</t>
        </is>
      </c>
      <c r="C752" s="65" t="inlineStr">
        <is>
          <t>Gupta Electricals</t>
        </is>
      </c>
      <c r="D752" s="65" t="inlineStr">
        <is>
          <t>Detergent 5kg</t>
        </is>
      </c>
      <c r="E752" s="66" t="n">
        <v>2</v>
      </c>
      <c r="G752" s="68" t="n">
        <v>0.05</v>
      </c>
      <c r="I752" s="65" t="inlineStr">
        <is>
          <t>Delivered</t>
        </is>
      </c>
    </row>
    <row r="753">
      <c r="A753" s="64" t="n">
        <v>46261</v>
      </c>
      <c r="B753" s="65" t="inlineStr">
        <is>
          <t>INV-0390</t>
        </is>
      </c>
      <c r="C753" s="65" t="inlineStr">
        <is>
          <t>Gupta Electricals</t>
        </is>
      </c>
      <c r="D753" s="65" t="inlineStr">
        <is>
          <t>Ceiling Fan 1200mm</t>
        </is>
      </c>
      <c r="E753" s="66" t="n">
        <v>1</v>
      </c>
      <c r="I753" s="65" t="inlineStr">
        <is>
          <t>Delivered</t>
        </is>
      </c>
    </row>
    <row r="754">
      <c r="A754" s="64" t="n">
        <v>46261</v>
      </c>
      <c r="B754" s="65" t="inlineStr">
        <is>
          <t>INV-0391</t>
        </is>
      </c>
      <c r="C754" s="65" t="inlineStr">
        <is>
          <t>Mehta Constructions</t>
        </is>
      </c>
      <c r="D754" s="65" t="inlineStr">
        <is>
          <t>LED Bulb 9W</t>
        </is>
      </c>
      <c r="E754" s="66" t="n">
        <v>22</v>
      </c>
      <c r="I754" s="65" t="inlineStr">
        <is>
          <t>Delivered</t>
        </is>
      </c>
    </row>
    <row r="755">
      <c r="A755" s="64" t="n">
        <v>46261</v>
      </c>
      <c r="B755" s="65" t="inlineStr">
        <is>
          <t>INV-0391</t>
        </is>
      </c>
      <c r="C755" s="65" t="inlineStr">
        <is>
          <t>Mehta Constructions</t>
        </is>
      </c>
      <c r="D755" s="65" t="inlineStr">
        <is>
          <t>Ceiling Fan 1200mm</t>
        </is>
      </c>
      <c r="E755" s="66" t="n">
        <v>1</v>
      </c>
      <c r="I755" s="65" t="inlineStr">
        <is>
          <t>Delivered</t>
        </is>
      </c>
    </row>
    <row r="756">
      <c r="A756" s="64" t="n">
        <v>46262</v>
      </c>
      <c r="B756" s="65" t="inlineStr">
        <is>
          <t>INV-0392</t>
        </is>
      </c>
      <c r="C756" s="65" t="inlineStr">
        <is>
          <t>Walk-in Customer</t>
        </is>
      </c>
      <c r="D756" s="65" t="inlineStr">
        <is>
          <t>Copper Wire 90m</t>
        </is>
      </c>
      <c r="E756" s="66" t="n">
        <v>1</v>
      </c>
      <c r="G756" s="68" t="n">
        <v>0.05</v>
      </c>
      <c r="H756" s="65" t="inlineStr">
        <is>
          <t>Cash</t>
        </is>
      </c>
      <c r="I756" s="65" t="inlineStr">
        <is>
          <t>Delivered</t>
        </is>
      </c>
    </row>
    <row r="757">
      <c r="A757" s="64" t="n">
        <v>46262</v>
      </c>
      <c r="B757" s="65" t="inlineStr">
        <is>
          <t>INV-0393</t>
        </is>
      </c>
      <c r="C757" s="65" t="inlineStr">
        <is>
          <t>Delhi Hardware Mart</t>
        </is>
      </c>
      <c r="D757" s="65" t="inlineStr">
        <is>
          <t>Tea Premium 1kg</t>
        </is>
      </c>
      <c r="E757" s="66" t="n">
        <v>4</v>
      </c>
      <c r="G757" s="68" t="n">
        <v>0.05</v>
      </c>
      <c r="I757" s="65" t="inlineStr">
        <is>
          <t>Delivered</t>
        </is>
      </c>
    </row>
    <row r="758">
      <c r="A758" s="64" t="n">
        <v>46262</v>
      </c>
      <c r="B758" s="65" t="inlineStr">
        <is>
          <t>INV-0393</t>
        </is>
      </c>
      <c r="C758" s="65" t="inlineStr">
        <is>
          <t>Delhi Hardware Mart</t>
        </is>
      </c>
      <c r="D758" s="65" t="inlineStr">
        <is>
          <t>Copper Wire 90m</t>
        </is>
      </c>
      <c r="E758" s="66" t="n">
        <v>1</v>
      </c>
      <c r="I758" s="65" t="inlineStr">
        <is>
          <t>Delivered</t>
        </is>
      </c>
    </row>
    <row r="759">
      <c r="A759" s="64" t="n">
        <v>46263</v>
      </c>
      <c r="B759" s="65" t="inlineStr">
        <is>
          <t>INV-0394</t>
        </is>
      </c>
      <c r="C759" s="65" t="inlineStr">
        <is>
          <t>Gupta Electricals</t>
        </is>
      </c>
      <c r="D759" s="65" t="inlineStr">
        <is>
          <t>Basmati Rice 25kg</t>
        </is>
      </c>
      <c r="E759" s="66" t="n">
        <v>1</v>
      </c>
      <c r="G759" s="68" t="n">
        <v>0.02</v>
      </c>
      <c r="H759" s="65" t="inlineStr">
        <is>
          <t>UPI</t>
        </is>
      </c>
      <c r="I759" s="65" t="inlineStr">
        <is>
          <t>Delivered</t>
        </is>
      </c>
    </row>
    <row r="760">
      <c r="A760" s="64" t="n">
        <v>46263</v>
      </c>
      <c r="B760" s="65" t="inlineStr">
        <is>
          <t>INV-0394</t>
        </is>
      </c>
      <c r="C760" s="65" t="inlineStr">
        <is>
          <t>Gupta Electricals</t>
        </is>
      </c>
      <c r="D760" s="65" t="inlineStr">
        <is>
          <t>Detergent 5kg</t>
        </is>
      </c>
      <c r="E760" s="66" t="n">
        <v>1</v>
      </c>
      <c r="H760" s="65" t="inlineStr">
        <is>
          <t>UPI</t>
        </is>
      </c>
      <c r="I760" s="65" t="inlineStr">
        <is>
          <t>Delivered</t>
        </is>
      </c>
    </row>
    <row r="761">
      <c r="A761" s="64" t="n">
        <v>46263</v>
      </c>
      <c r="B761" s="65" t="inlineStr">
        <is>
          <t>INV-0395</t>
        </is>
      </c>
      <c r="C761" s="65" t="inlineStr">
        <is>
          <t>Walk-in Customer</t>
        </is>
      </c>
      <c r="D761" s="65" t="inlineStr">
        <is>
          <t>Ceiling Fan 1200mm</t>
        </is>
      </c>
      <c r="E761" s="66" t="n">
        <v>1</v>
      </c>
      <c r="H761" s="65" t="inlineStr">
        <is>
          <t>Cash</t>
        </is>
      </c>
      <c r="I761" s="65" t="inlineStr">
        <is>
          <t>Delivered</t>
        </is>
      </c>
    </row>
    <row r="762">
      <c r="A762" s="64" t="n">
        <v>46263</v>
      </c>
      <c r="B762" s="65" t="inlineStr">
        <is>
          <t>INV-0395</t>
        </is>
      </c>
      <c r="C762" s="65" t="inlineStr">
        <is>
          <t>Walk-in Customer</t>
        </is>
      </c>
      <c r="D762" s="65" t="inlineStr">
        <is>
          <t>Copper Wire 90m</t>
        </is>
      </c>
      <c r="E762" s="66" t="n">
        <v>1</v>
      </c>
      <c r="H762" s="65" t="inlineStr">
        <is>
          <t>Cash</t>
        </is>
      </c>
      <c r="I762" s="65" t="inlineStr">
        <is>
          <t>Delivered</t>
        </is>
      </c>
    </row>
    <row r="763">
      <c r="A763" s="64" t="n">
        <v>46263</v>
      </c>
      <c r="B763" s="65" t="inlineStr">
        <is>
          <t>INV-0395</t>
        </is>
      </c>
      <c r="C763" s="65" t="inlineStr">
        <is>
          <t>Walk-in Customer</t>
        </is>
      </c>
      <c r="D763" s="65" t="inlineStr">
        <is>
          <t>Tea Premium 1kg</t>
        </is>
      </c>
      <c r="E763" s="66" t="n">
        <v>1</v>
      </c>
      <c r="H763" s="65" t="inlineStr">
        <is>
          <t>Cash</t>
        </is>
      </c>
      <c r="I763" s="65" t="inlineStr">
        <is>
          <t>Delivered</t>
        </is>
      </c>
    </row>
    <row r="764">
      <c r="A764" s="64" t="n">
        <v>46265</v>
      </c>
      <c r="B764" s="65" t="inlineStr">
        <is>
          <t>INV-0396</t>
        </is>
      </c>
      <c r="C764" s="65" t="inlineStr">
        <is>
          <t>Delhi Hardware Mart</t>
        </is>
      </c>
      <c r="D764" s="65" t="inlineStr">
        <is>
          <t>Copper Wire 90m</t>
        </is>
      </c>
      <c r="E764" s="66" t="n">
        <v>1</v>
      </c>
      <c r="I764" s="65" t="inlineStr">
        <is>
          <t>Delivered</t>
        </is>
      </c>
    </row>
    <row r="765">
      <c r="A765" s="64" t="n">
        <v>46265</v>
      </c>
      <c r="B765" s="65" t="inlineStr">
        <is>
          <t>INV-0396</t>
        </is>
      </c>
      <c r="C765" s="65" t="inlineStr">
        <is>
          <t>Delhi Hardware Mart</t>
        </is>
      </c>
      <c r="D765" s="65" t="inlineStr">
        <is>
          <t>Tea Premium 1kg</t>
        </is>
      </c>
      <c r="E765" s="66" t="n">
        <v>4</v>
      </c>
      <c r="G765" s="68" t="n">
        <v>0.05</v>
      </c>
      <c r="I765" s="65" t="inlineStr">
        <is>
          <t>Delivered</t>
        </is>
      </c>
    </row>
    <row r="766">
      <c r="A766" s="64" t="n">
        <v>46265</v>
      </c>
      <c r="B766" s="65" t="inlineStr">
        <is>
          <t>INV-0397</t>
        </is>
      </c>
      <c r="C766" s="65" t="inlineStr">
        <is>
          <t>Delhi Hardware Mart</t>
        </is>
      </c>
      <c r="D766" s="65" t="inlineStr">
        <is>
          <t>PVC Pipe 1in 6m</t>
        </is>
      </c>
      <c r="E766" s="66" t="n">
        <v>5</v>
      </c>
      <c r="I766" s="65" t="inlineStr">
        <is>
          <t>Delivered</t>
        </is>
      </c>
    </row>
    <row r="767">
      <c r="A767" s="64" t="n">
        <v>46265</v>
      </c>
      <c r="B767" s="65" t="inlineStr">
        <is>
          <t>INV-0397</t>
        </is>
      </c>
      <c r="C767" s="65" t="inlineStr">
        <is>
          <t>Delhi Hardware Mart</t>
        </is>
      </c>
      <c r="D767" s="65" t="inlineStr">
        <is>
          <t>Sugar 50kg</t>
        </is>
      </c>
      <c r="E767" s="66" t="n">
        <v>1</v>
      </c>
      <c r="I767" s="65" t="inlineStr">
        <is>
          <t>Delivered</t>
        </is>
      </c>
    </row>
    <row r="768">
      <c r="A768" s="64" t="n">
        <v>46265</v>
      </c>
      <c r="B768" s="65" t="inlineStr">
        <is>
          <t>INV-0398</t>
        </is>
      </c>
      <c r="C768" s="65" t="inlineStr">
        <is>
          <t>Walk-in Customer</t>
        </is>
      </c>
      <c r="D768" s="65" t="inlineStr">
        <is>
          <t>Detergent 5kg</t>
        </is>
      </c>
      <c r="E768" s="66" t="n">
        <v>2</v>
      </c>
      <c r="G768" s="68" t="n">
        <v>0.02</v>
      </c>
      <c r="H768" s="65" t="inlineStr">
        <is>
          <t>Cash</t>
        </is>
      </c>
      <c r="I768" s="65" t="inlineStr">
        <is>
          <t>Delivered</t>
        </is>
      </c>
    </row>
    <row r="769">
      <c r="A769" s="64" t="n">
        <v>46265</v>
      </c>
      <c r="B769" s="65" t="inlineStr">
        <is>
          <t>INV-0399</t>
        </is>
      </c>
      <c r="C769" s="65" t="inlineStr">
        <is>
          <t>Walk-in Customer</t>
        </is>
      </c>
      <c r="D769" s="65" t="inlineStr">
        <is>
          <t>Basmati Rice 25kg</t>
        </is>
      </c>
      <c r="E769" s="66" t="n">
        <v>1</v>
      </c>
      <c r="G769" s="68" t="n">
        <v>0.02</v>
      </c>
      <c r="H769" s="65" t="inlineStr">
        <is>
          <t>Cash</t>
        </is>
      </c>
      <c r="I769" s="65" t="inlineStr">
        <is>
          <t>Delivered</t>
        </is>
      </c>
    </row>
    <row r="770">
      <c r="A770" s="64" t="n">
        <v>46265</v>
      </c>
      <c r="B770" s="65" t="inlineStr">
        <is>
          <t>INV-0399</t>
        </is>
      </c>
      <c r="C770" s="65" t="inlineStr">
        <is>
          <t>Walk-in Customer</t>
        </is>
      </c>
      <c r="D770" s="65" t="inlineStr">
        <is>
          <t>Refined Oil 15L</t>
        </is>
      </c>
      <c r="E770" s="66" t="n">
        <v>1</v>
      </c>
      <c r="H770" s="65" t="inlineStr">
        <is>
          <t>Cash</t>
        </is>
      </c>
      <c r="I770" s="65" t="inlineStr">
        <is>
          <t>Delivered</t>
        </is>
      </c>
    </row>
    <row r="771">
      <c r="A771" s="64" t="n">
        <v>46266</v>
      </c>
      <c r="B771" s="65" t="inlineStr">
        <is>
          <t>INV-0400</t>
        </is>
      </c>
      <c r="C771" s="65" t="inlineStr">
        <is>
          <t>FMCG Distributors</t>
        </is>
      </c>
      <c r="D771" s="65" t="inlineStr">
        <is>
          <t>Detergent 5kg</t>
        </is>
      </c>
      <c r="E771" s="66" t="n">
        <v>1</v>
      </c>
      <c r="G771" s="68" t="n">
        <v>0.05</v>
      </c>
      <c r="H771" s="65" t="inlineStr">
        <is>
          <t>UPI</t>
        </is>
      </c>
      <c r="I771" s="65" t="inlineStr">
        <is>
          <t>Delivered</t>
        </is>
      </c>
    </row>
    <row r="772">
      <c r="A772" s="64" t="n">
        <v>46266</v>
      </c>
      <c r="B772" s="65" t="inlineStr">
        <is>
          <t>INV-0401</t>
        </is>
      </c>
      <c r="C772" s="65" t="inlineStr">
        <is>
          <t>Gupta Electricals</t>
        </is>
      </c>
      <c r="D772" s="65" t="inlineStr">
        <is>
          <t>Refined Oil 15L</t>
        </is>
      </c>
      <c r="E772" s="66" t="n">
        <v>1</v>
      </c>
      <c r="G772" s="68" t="n">
        <v>0.02</v>
      </c>
      <c r="I772" s="65" t="inlineStr">
        <is>
          <t>Delivered</t>
        </is>
      </c>
    </row>
    <row r="773">
      <c r="A773" s="64" t="n">
        <v>46266</v>
      </c>
      <c r="B773" s="65" t="inlineStr">
        <is>
          <t>INV-0401</t>
        </is>
      </c>
      <c r="C773" s="65" t="inlineStr">
        <is>
          <t>Gupta Electricals</t>
        </is>
      </c>
      <c r="D773" s="65" t="inlineStr">
        <is>
          <t>Ceiling Fan 1200mm</t>
        </is>
      </c>
      <c r="E773" s="66" t="n">
        <v>1</v>
      </c>
      <c r="I773" s="65" t="inlineStr">
        <is>
          <t>Delivered</t>
        </is>
      </c>
    </row>
    <row r="774">
      <c r="A774" s="64" t="n">
        <v>46266</v>
      </c>
      <c r="B774" s="65" t="inlineStr">
        <is>
          <t>INV-0401</t>
        </is>
      </c>
      <c r="C774" s="65" t="inlineStr">
        <is>
          <t>Gupta Electricals</t>
        </is>
      </c>
      <c r="D774" s="65" t="inlineStr">
        <is>
          <t>LED Bulb 9W</t>
        </is>
      </c>
      <c r="E774" s="66" t="n">
        <v>7</v>
      </c>
      <c r="I774" s="65" t="inlineStr">
        <is>
          <t>Delivered</t>
        </is>
      </c>
    </row>
    <row r="775">
      <c r="A775" s="64" t="n">
        <v>46267</v>
      </c>
      <c r="B775" s="65" t="inlineStr">
        <is>
          <t>INV-0402</t>
        </is>
      </c>
      <c r="C775" s="65" t="inlineStr">
        <is>
          <t>Mehta Constructions</t>
        </is>
      </c>
      <c r="D775" s="65" t="inlineStr">
        <is>
          <t>Basmati Rice 25kg</t>
        </is>
      </c>
      <c r="E775" s="66" t="n">
        <v>2</v>
      </c>
      <c r="H775" s="65" t="inlineStr">
        <is>
          <t>UPI</t>
        </is>
      </c>
      <c r="I775" s="65" t="inlineStr">
        <is>
          <t>Delivered</t>
        </is>
      </c>
    </row>
    <row r="776">
      <c r="A776" s="64" t="n">
        <v>46267</v>
      </c>
      <c r="B776" s="65" t="inlineStr">
        <is>
          <t>INV-0402</t>
        </is>
      </c>
      <c r="C776" s="65" t="inlineStr">
        <is>
          <t>Mehta Constructions</t>
        </is>
      </c>
      <c r="D776" s="65" t="inlineStr">
        <is>
          <t>Copper Wire 90m</t>
        </is>
      </c>
      <c r="E776" s="66" t="n">
        <v>1</v>
      </c>
      <c r="H776" s="65" t="inlineStr">
        <is>
          <t>UPI</t>
        </is>
      </c>
      <c r="I776" s="65" t="inlineStr">
        <is>
          <t>Delivered</t>
        </is>
      </c>
    </row>
    <row r="777">
      <c r="A777" s="64" t="n">
        <v>46267</v>
      </c>
      <c r="B777" s="65" t="inlineStr">
        <is>
          <t>INV-0403</t>
        </is>
      </c>
      <c r="C777" s="65" t="inlineStr">
        <is>
          <t>Mehta Constructions</t>
        </is>
      </c>
      <c r="D777" s="65" t="inlineStr">
        <is>
          <t>Tea Premium 1kg</t>
        </is>
      </c>
      <c r="E777" s="66" t="n">
        <v>1</v>
      </c>
      <c r="H777" s="65" t="inlineStr">
        <is>
          <t>Bank</t>
        </is>
      </c>
      <c r="I777" s="65" t="inlineStr">
        <is>
          <t>Delivered</t>
        </is>
      </c>
    </row>
    <row r="778">
      <c r="A778" s="64" t="n">
        <v>46268</v>
      </c>
      <c r="B778" s="65" t="inlineStr">
        <is>
          <t>INV-0404</t>
        </is>
      </c>
      <c r="C778" s="65" t="inlineStr">
        <is>
          <t>Mehta Constructions</t>
        </is>
      </c>
      <c r="D778" s="65" t="inlineStr">
        <is>
          <t>Basmati Rice 25kg</t>
        </is>
      </c>
      <c r="E778" s="66" t="n">
        <v>1</v>
      </c>
      <c r="I778" s="65" t="inlineStr">
        <is>
          <t>Delivered</t>
        </is>
      </c>
    </row>
    <row r="779">
      <c r="A779" s="64" t="n">
        <v>46268</v>
      </c>
      <c r="B779" s="65" t="inlineStr">
        <is>
          <t>INV-0405</t>
        </is>
      </c>
      <c r="C779" s="65" t="inlineStr">
        <is>
          <t>Mehta Constructions</t>
        </is>
      </c>
      <c r="D779" s="65" t="inlineStr">
        <is>
          <t>Toothpaste 150g x12</t>
        </is>
      </c>
      <c r="E779" s="66" t="n">
        <v>1</v>
      </c>
      <c r="I779" s="65" t="inlineStr">
        <is>
          <t>Delivered</t>
        </is>
      </c>
    </row>
    <row r="780">
      <c r="A780" s="64" t="n">
        <v>46268</v>
      </c>
      <c r="B780" s="65" t="inlineStr">
        <is>
          <t>INV-0405</t>
        </is>
      </c>
      <c r="C780" s="65" t="inlineStr">
        <is>
          <t>Mehta Constructions</t>
        </is>
      </c>
      <c r="D780" s="65" t="inlineStr">
        <is>
          <t>Ceiling Fan 1200mm</t>
        </is>
      </c>
      <c r="E780" s="66" t="n">
        <v>1</v>
      </c>
      <c r="I780" s="65" t="inlineStr">
        <is>
          <t>Delivered</t>
        </is>
      </c>
    </row>
    <row r="781">
      <c r="A781" s="64" t="n">
        <v>46268</v>
      </c>
      <c r="B781" s="65" t="inlineStr">
        <is>
          <t>INV-0406</t>
        </is>
      </c>
      <c r="C781" s="65" t="inlineStr">
        <is>
          <t>Delhi Hardware Mart</t>
        </is>
      </c>
      <c r="D781" s="65" t="inlineStr">
        <is>
          <t>Sugar 50kg</t>
        </is>
      </c>
      <c r="E781" s="66" t="n">
        <v>1</v>
      </c>
      <c r="G781" s="68" t="n">
        <v>0.05</v>
      </c>
      <c r="I781" s="65" t="inlineStr">
        <is>
          <t>Delivered</t>
        </is>
      </c>
    </row>
    <row r="782">
      <c r="A782" s="64" t="n">
        <v>46268</v>
      </c>
      <c r="B782" s="65" t="inlineStr">
        <is>
          <t>INV-0406</t>
        </is>
      </c>
      <c r="C782" s="65" t="inlineStr">
        <is>
          <t>Delhi Hardware Mart</t>
        </is>
      </c>
      <c r="D782" s="65" t="inlineStr">
        <is>
          <t>PVC Pipe 1in 6m</t>
        </is>
      </c>
      <c r="E782" s="66" t="n">
        <v>2</v>
      </c>
      <c r="I782" s="65" t="inlineStr">
        <is>
          <t>Delivered</t>
        </is>
      </c>
    </row>
    <row r="783">
      <c r="A783" s="64" t="n">
        <v>46269</v>
      </c>
      <c r="B783" s="65" t="inlineStr">
        <is>
          <t>INV-0407</t>
        </is>
      </c>
      <c r="C783" s="65" t="inlineStr">
        <is>
          <t>Walk-in Customer</t>
        </is>
      </c>
      <c r="D783" s="65" t="inlineStr">
        <is>
          <t>Basmati Rice 25kg</t>
        </is>
      </c>
      <c r="E783" s="66" t="n">
        <v>1</v>
      </c>
      <c r="G783" s="68" t="n">
        <v>0.05</v>
      </c>
      <c r="H783" s="65" t="inlineStr">
        <is>
          <t>Cash</t>
        </is>
      </c>
      <c r="I783" s="65" t="inlineStr">
        <is>
          <t>Delivered</t>
        </is>
      </c>
    </row>
    <row r="784">
      <c r="A784" s="64" t="n">
        <v>46269</v>
      </c>
      <c r="B784" s="65" t="inlineStr">
        <is>
          <t>INV-0408</t>
        </is>
      </c>
      <c r="C784" s="65" t="inlineStr">
        <is>
          <t>Gupta Electricals</t>
        </is>
      </c>
      <c r="D784" s="65" t="inlineStr">
        <is>
          <t>LED Bulb 9W</t>
        </is>
      </c>
      <c r="E784" s="66" t="n">
        <v>21</v>
      </c>
      <c r="H784" s="65" t="inlineStr">
        <is>
          <t>UPI</t>
        </is>
      </c>
      <c r="I784" s="65" t="inlineStr">
        <is>
          <t>Delivered</t>
        </is>
      </c>
    </row>
    <row r="785">
      <c r="A785" s="64" t="n">
        <v>46269</v>
      </c>
      <c r="B785" s="65" t="inlineStr">
        <is>
          <t>INV-0408</t>
        </is>
      </c>
      <c r="C785" s="65" t="inlineStr">
        <is>
          <t>Gupta Electricals</t>
        </is>
      </c>
      <c r="D785" s="65" t="inlineStr">
        <is>
          <t>Cement 50kg</t>
        </is>
      </c>
      <c r="E785" s="66" t="n">
        <v>6</v>
      </c>
      <c r="H785" s="65" t="inlineStr">
        <is>
          <t>UPI</t>
        </is>
      </c>
      <c r="I785" s="65" t="inlineStr">
        <is>
          <t>Delivered</t>
        </is>
      </c>
    </row>
    <row r="786">
      <c r="A786" s="64" t="n">
        <v>46269</v>
      </c>
      <c r="B786" s="65" t="inlineStr">
        <is>
          <t>INV-0409</t>
        </is>
      </c>
      <c r="C786" s="65" t="inlineStr">
        <is>
          <t>FMCG Distributors</t>
        </is>
      </c>
      <c r="D786" s="65" t="inlineStr">
        <is>
          <t>Toothpaste 150g x12</t>
        </is>
      </c>
      <c r="E786" s="66" t="n">
        <v>1</v>
      </c>
      <c r="G786" s="68" t="n">
        <v>0.02</v>
      </c>
      <c r="I786" s="65" t="inlineStr">
        <is>
          <t>Delivered</t>
        </is>
      </c>
    </row>
    <row r="787">
      <c r="A787" s="64" t="n">
        <v>46269</v>
      </c>
      <c r="B787" s="65" t="inlineStr">
        <is>
          <t>INV-0410</t>
        </is>
      </c>
      <c r="C787" s="65" t="inlineStr">
        <is>
          <t>Mehta Constructions</t>
        </is>
      </c>
      <c r="D787" s="65" t="inlineStr">
        <is>
          <t>Sugar 50kg</t>
        </is>
      </c>
      <c r="E787" s="66" t="n">
        <v>1</v>
      </c>
      <c r="I787" s="65" t="inlineStr">
        <is>
          <t>Delivered</t>
        </is>
      </c>
    </row>
    <row r="788">
      <c r="A788" s="64" t="n">
        <v>46269</v>
      </c>
      <c r="B788" s="65" t="inlineStr">
        <is>
          <t>INV-0410</t>
        </is>
      </c>
      <c r="C788" s="65" t="inlineStr">
        <is>
          <t>Mehta Constructions</t>
        </is>
      </c>
      <c r="D788" s="65" t="inlineStr">
        <is>
          <t>Ceiling Fan 1200mm</t>
        </is>
      </c>
      <c r="E788" s="66" t="n">
        <v>1</v>
      </c>
      <c r="I788" s="65" t="inlineStr">
        <is>
          <t>Delivered</t>
        </is>
      </c>
    </row>
    <row r="789">
      <c r="A789" s="64" t="n">
        <v>46270</v>
      </c>
      <c r="B789" s="65" t="inlineStr">
        <is>
          <t>INV-0411</t>
        </is>
      </c>
      <c r="C789" s="65" t="inlineStr">
        <is>
          <t>FMCG Distributors</t>
        </is>
      </c>
      <c r="D789" s="65" t="inlineStr">
        <is>
          <t>Refined Oil 15L</t>
        </is>
      </c>
      <c r="E789" s="66" t="n">
        <v>1</v>
      </c>
      <c r="G789" s="68" t="n">
        <v>0.05</v>
      </c>
      <c r="H789" s="65" t="inlineStr">
        <is>
          <t>UPI</t>
        </is>
      </c>
      <c r="I789" s="65" t="inlineStr">
        <is>
          <t>Delivered</t>
        </is>
      </c>
    </row>
    <row r="790">
      <c r="A790" s="64" t="n">
        <v>46270</v>
      </c>
      <c r="B790" s="65" t="inlineStr">
        <is>
          <t>INV-0411</t>
        </is>
      </c>
      <c r="C790" s="65" t="inlineStr">
        <is>
          <t>FMCG Distributors</t>
        </is>
      </c>
      <c r="D790" s="65" t="inlineStr">
        <is>
          <t>Cement 50kg</t>
        </is>
      </c>
      <c r="E790" s="66" t="n">
        <v>5</v>
      </c>
      <c r="H790" s="65" t="inlineStr">
        <is>
          <t>UPI</t>
        </is>
      </c>
      <c r="I790" s="65" t="inlineStr">
        <is>
          <t>Delivered</t>
        </is>
      </c>
    </row>
    <row r="791">
      <c r="A791" s="64" t="n">
        <v>46270</v>
      </c>
      <c r="B791" s="65" t="inlineStr">
        <is>
          <t>INV-0412</t>
        </is>
      </c>
      <c r="C791" s="65" t="inlineStr">
        <is>
          <t>Mehta Constructions</t>
        </is>
      </c>
      <c r="D791" s="65" t="inlineStr">
        <is>
          <t>Refined Oil 15L</t>
        </is>
      </c>
      <c r="E791" s="66" t="n">
        <v>1</v>
      </c>
      <c r="G791" s="68" t="n">
        <v>0.05</v>
      </c>
      <c r="H791" s="65" t="inlineStr">
        <is>
          <t>UPI</t>
        </is>
      </c>
      <c r="I791" s="65" t="inlineStr">
        <is>
          <t>Delivered</t>
        </is>
      </c>
    </row>
    <row r="792">
      <c r="A792" s="64" t="n">
        <v>46270</v>
      </c>
      <c r="B792" s="65" t="inlineStr">
        <is>
          <t>INV-0412</t>
        </is>
      </c>
      <c r="C792" s="65" t="inlineStr">
        <is>
          <t>Mehta Constructions</t>
        </is>
      </c>
      <c r="D792" s="65" t="inlineStr">
        <is>
          <t>Tea Premium 1kg</t>
        </is>
      </c>
      <c r="E792" s="66" t="n">
        <v>3</v>
      </c>
      <c r="H792" s="65" t="inlineStr">
        <is>
          <t>UPI</t>
        </is>
      </c>
      <c r="I792" s="65" t="inlineStr">
        <is>
          <t>Delivered</t>
        </is>
      </c>
    </row>
    <row r="793">
      <c r="A793" s="64" t="n">
        <v>46272</v>
      </c>
      <c r="B793" s="65" t="inlineStr">
        <is>
          <t>INV-0413</t>
        </is>
      </c>
      <c r="C793" s="65" t="inlineStr">
        <is>
          <t>Walk-in Customer</t>
        </is>
      </c>
      <c r="D793" s="65" t="inlineStr">
        <is>
          <t>Ceiling Fan 1200mm</t>
        </is>
      </c>
      <c r="E793" s="66" t="n">
        <v>1</v>
      </c>
      <c r="H793" s="65" t="inlineStr">
        <is>
          <t>Cash</t>
        </is>
      </c>
      <c r="I793" s="65" t="inlineStr">
        <is>
          <t>Delivered</t>
        </is>
      </c>
    </row>
    <row r="794">
      <c r="A794" s="64" t="n">
        <v>46272</v>
      </c>
      <c r="B794" s="65" t="inlineStr">
        <is>
          <t>INV-0413</t>
        </is>
      </c>
      <c r="C794" s="65" t="inlineStr">
        <is>
          <t>Walk-in Customer</t>
        </is>
      </c>
      <c r="D794" s="65" t="inlineStr">
        <is>
          <t>Tea Premium 1kg</t>
        </is>
      </c>
      <c r="E794" s="66" t="n">
        <v>1</v>
      </c>
      <c r="H794" s="65" t="inlineStr">
        <is>
          <t>Cash</t>
        </is>
      </c>
      <c r="I794" s="65" t="inlineStr">
        <is>
          <t>Delivered</t>
        </is>
      </c>
    </row>
    <row r="795">
      <c r="A795" s="64" t="n">
        <v>46272</v>
      </c>
      <c r="B795" s="65" t="inlineStr">
        <is>
          <t>INV-0414</t>
        </is>
      </c>
      <c r="C795" s="65" t="inlineStr">
        <is>
          <t>Sharma Kirana Store</t>
        </is>
      </c>
      <c r="D795" s="65" t="inlineStr">
        <is>
          <t>Cement 50kg</t>
        </is>
      </c>
      <c r="E795" s="66" t="n">
        <v>5</v>
      </c>
      <c r="H795" s="65" t="inlineStr">
        <is>
          <t>UPI</t>
        </is>
      </c>
      <c r="I795" s="65" t="inlineStr">
        <is>
          <t>Delivered</t>
        </is>
      </c>
    </row>
    <row r="796">
      <c r="A796" s="64" t="n">
        <v>46272</v>
      </c>
      <c r="B796" s="65" t="inlineStr">
        <is>
          <t>INV-0414</t>
        </is>
      </c>
      <c r="C796" s="65" t="inlineStr">
        <is>
          <t>Sharma Kirana Store</t>
        </is>
      </c>
      <c r="D796" s="65" t="inlineStr">
        <is>
          <t>PVC Pipe 1in 6m</t>
        </is>
      </c>
      <c r="E796" s="66" t="n">
        <v>2</v>
      </c>
      <c r="G796" s="68" t="n">
        <v>0.05</v>
      </c>
      <c r="H796" s="65" t="inlineStr">
        <is>
          <t>UPI</t>
        </is>
      </c>
      <c r="I796" s="65" t="inlineStr">
        <is>
          <t>Delivered</t>
        </is>
      </c>
    </row>
    <row r="797">
      <c r="A797" s="64" t="n">
        <v>46272</v>
      </c>
      <c r="B797" s="65" t="inlineStr">
        <is>
          <t>INV-0414</t>
        </is>
      </c>
      <c r="C797" s="65" t="inlineStr">
        <is>
          <t>Sharma Kirana Store</t>
        </is>
      </c>
      <c r="D797" s="65" t="inlineStr">
        <is>
          <t>Sugar 50kg</t>
        </is>
      </c>
      <c r="E797" s="66" t="n">
        <v>1</v>
      </c>
      <c r="H797" s="65" t="inlineStr">
        <is>
          <t>UPI</t>
        </is>
      </c>
      <c r="I797" s="65" t="inlineStr">
        <is>
          <t>Delivered</t>
        </is>
      </c>
    </row>
    <row r="798">
      <c r="A798" s="64" t="n">
        <v>46273</v>
      </c>
      <c r="B798" s="65" t="inlineStr">
        <is>
          <t>INV-0415</t>
        </is>
      </c>
      <c r="C798" s="65" t="inlineStr">
        <is>
          <t>Walk-in Customer</t>
        </is>
      </c>
      <c r="D798" s="65" t="inlineStr">
        <is>
          <t>Cement 50kg</t>
        </is>
      </c>
      <c r="E798" s="66" t="n">
        <v>5</v>
      </c>
      <c r="H798" s="65" t="inlineStr">
        <is>
          <t>Cash</t>
        </is>
      </c>
      <c r="I798" s="65" t="inlineStr">
        <is>
          <t>Delivered</t>
        </is>
      </c>
    </row>
    <row r="799">
      <c r="A799" s="64" t="n">
        <v>46273</v>
      </c>
      <c r="B799" s="65" t="inlineStr">
        <is>
          <t>INV-0416</t>
        </is>
      </c>
      <c r="C799" s="65" t="inlineStr">
        <is>
          <t>Sharma Kirana Store</t>
        </is>
      </c>
      <c r="D799" s="65" t="inlineStr">
        <is>
          <t>Detergent 5kg</t>
        </is>
      </c>
      <c r="E799" s="66" t="n">
        <v>1</v>
      </c>
      <c r="G799" s="68" t="n">
        <v>0.02</v>
      </c>
      <c r="I799" s="65" t="inlineStr">
        <is>
          <t>Delivered</t>
        </is>
      </c>
    </row>
    <row r="800">
      <c r="A800" s="64" t="n">
        <v>46273</v>
      </c>
      <c r="B800" s="65" t="inlineStr">
        <is>
          <t>INV-0416</t>
        </is>
      </c>
      <c r="C800" s="65" t="inlineStr">
        <is>
          <t>Sharma Kirana Store</t>
        </is>
      </c>
      <c r="D800" s="65" t="inlineStr">
        <is>
          <t>Toothpaste 150g x12</t>
        </is>
      </c>
      <c r="E800" s="66" t="n">
        <v>1</v>
      </c>
      <c r="I800" s="65" t="inlineStr">
        <is>
          <t>Delivered</t>
        </is>
      </c>
    </row>
    <row r="801">
      <c r="A801" s="64" t="n">
        <v>46274</v>
      </c>
      <c r="B801" s="65" t="inlineStr">
        <is>
          <t>INV-0417</t>
        </is>
      </c>
      <c r="C801" s="65" t="inlineStr">
        <is>
          <t>FMCG Distributors</t>
        </is>
      </c>
      <c r="D801" s="65" t="inlineStr">
        <is>
          <t>Basmati Rice 25kg</t>
        </is>
      </c>
      <c r="E801" s="66" t="n">
        <v>1</v>
      </c>
      <c r="G801" s="68" t="n">
        <v>0.05</v>
      </c>
      <c r="H801" s="65" t="inlineStr">
        <is>
          <t>UPI</t>
        </is>
      </c>
      <c r="I801" s="65" t="inlineStr">
        <is>
          <t>Delivered</t>
        </is>
      </c>
    </row>
    <row r="802">
      <c r="A802" s="64" t="n">
        <v>46274</v>
      </c>
      <c r="B802" s="65" t="inlineStr">
        <is>
          <t>INV-0417</t>
        </is>
      </c>
      <c r="C802" s="65" t="inlineStr">
        <is>
          <t>FMCG Distributors</t>
        </is>
      </c>
      <c r="D802" s="65" t="inlineStr">
        <is>
          <t>Sugar 50kg</t>
        </is>
      </c>
      <c r="E802" s="66" t="n">
        <v>1</v>
      </c>
      <c r="H802" s="65" t="inlineStr">
        <is>
          <t>UPI</t>
        </is>
      </c>
      <c r="I802" s="65" t="inlineStr">
        <is>
          <t>Delivered</t>
        </is>
      </c>
    </row>
    <row r="803">
      <c r="A803" s="64" t="n">
        <v>46274</v>
      </c>
      <c r="B803" s="65" t="inlineStr">
        <is>
          <t>INV-0417</t>
        </is>
      </c>
      <c r="C803" s="65" t="inlineStr">
        <is>
          <t>FMCG Distributors</t>
        </is>
      </c>
      <c r="D803" s="65" t="inlineStr">
        <is>
          <t>Tea Premium 1kg</t>
        </is>
      </c>
      <c r="E803" s="66" t="n">
        <v>4</v>
      </c>
      <c r="H803" s="65" t="inlineStr">
        <is>
          <t>UPI</t>
        </is>
      </c>
      <c r="I803" s="65" t="inlineStr">
        <is>
          <t>Delivered</t>
        </is>
      </c>
    </row>
    <row r="804">
      <c r="A804" s="64" t="n">
        <v>46274</v>
      </c>
      <c r="B804" s="65" t="inlineStr">
        <is>
          <t>INV-0418</t>
        </is>
      </c>
      <c r="C804" s="65" t="inlineStr">
        <is>
          <t>Walk-in Customer</t>
        </is>
      </c>
      <c r="D804" s="65" t="inlineStr">
        <is>
          <t>Tea Premium 1kg</t>
        </is>
      </c>
      <c r="E804" s="66" t="n">
        <v>2</v>
      </c>
      <c r="H804" s="65" t="inlineStr">
        <is>
          <t>Cash</t>
        </is>
      </c>
      <c r="I804" s="65" t="inlineStr">
        <is>
          <t>Delivered</t>
        </is>
      </c>
    </row>
    <row r="805">
      <c r="A805" s="64" t="n">
        <v>46275</v>
      </c>
      <c r="B805" s="65" t="inlineStr">
        <is>
          <t>INV-0419</t>
        </is>
      </c>
      <c r="C805" s="65" t="inlineStr">
        <is>
          <t>Walk-in Customer</t>
        </is>
      </c>
      <c r="D805" s="65" t="inlineStr">
        <is>
          <t>Copper Wire 90m</t>
        </is>
      </c>
      <c r="E805" s="66" t="n">
        <v>1</v>
      </c>
      <c r="H805" s="65" t="inlineStr">
        <is>
          <t>Cash</t>
        </is>
      </c>
      <c r="I805" s="65" t="inlineStr">
        <is>
          <t>Delivered</t>
        </is>
      </c>
    </row>
    <row r="806">
      <c r="A806" s="64" t="n">
        <v>46275</v>
      </c>
      <c r="B806" s="65" t="inlineStr">
        <is>
          <t>INV-0420</t>
        </is>
      </c>
      <c r="C806" s="65" t="inlineStr">
        <is>
          <t>Gupta Electricals</t>
        </is>
      </c>
      <c r="D806" s="65" t="inlineStr">
        <is>
          <t>Tea Premium 1kg</t>
        </is>
      </c>
      <c r="E806" s="66" t="n">
        <v>4</v>
      </c>
      <c r="H806" s="65" t="inlineStr">
        <is>
          <t>Bank</t>
        </is>
      </c>
      <c r="I806" s="65" t="inlineStr">
        <is>
          <t>Delivered</t>
        </is>
      </c>
    </row>
    <row r="807">
      <c r="A807" s="64" t="n">
        <v>46276</v>
      </c>
      <c r="B807" s="65" t="inlineStr">
        <is>
          <t>INV-0421</t>
        </is>
      </c>
      <c r="C807" s="65" t="inlineStr">
        <is>
          <t>Walk-in Customer</t>
        </is>
      </c>
      <c r="D807" s="65" t="inlineStr">
        <is>
          <t>PVC Pipe 1in 6m</t>
        </is>
      </c>
      <c r="E807" s="66" t="n">
        <v>7</v>
      </c>
      <c r="G807" s="68" t="n">
        <v>0.05</v>
      </c>
      <c r="H807" s="65" t="inlineStr">
        <is>
          <t>Cash</t>
        </is>
      </c>
      <c r="I807" s="65" t="inlineStr">
        <is>
          <t>Delivered</t>
        </is>
      </c>
    </row>
    <row r="808">
      <c r="A808" s="64" t="n">
        <v>46276</v>
      </c>
      <c r="B808" s="65" t="inlineStr">
        <is>
          <t>INV-0421</t>
        </is>
      </c>
      <c r="C808" s="65" t="inlineStr">
        <is>
          <t>Walk-in Customer</t>
        </is>
      </c>
      <c r="D808" s="65" t="inlineStr">
        <is>
          <t>Detergent 5kg</t>
        </is>
      </c>
      <c r="E808" s="66" t="n">
        <v>2</v>
      </c>
      <c r="H808" s="65" t="inlineStr">
        <is>
          <t>Cash</t>
        </is>
      </c>
      <c r="I808" s="65" t="inlineStr">
        <is>
          <t>Delivered</t>
        </is>
      </c>
    </row>
    <row r="809">
      <c r="A809" s="64" t="n">
        <v>46276</v>
      </c>
      <c r="B809" s="65" t="inlineStr">
        <is>
          <t>INV-0422</t>
        </is>
      </c>
      <c r="C809" s="65" t="inlineStr">
        <is>
          <t>Gupta Electricals</t>
        </is>
      </c>
      <c r="D809" s="65" t="inlineStr">
        <is>
          <t>Tea Premium 1kg</t>
        </is>
      </c>
      <c r="E809" s="66" t="n">
        <v>3</v>
      </c>
      <c r="G809" s="68" t="n">
        <v>0.05</v>
      </c>
      <c r="I809" s="65" t="inlineStr">
        <is>
          <t>Delivered</t>
        </is>
      </c>
    </row>
    <row r="810">
      <c r="A810" s="64" t="n">
        <v>46276</v>
      </c>
      <c r="B810" s="65" t="inlineStr">
        <is>
          <t>INV-0422</t>
        </is>
      </c>
      <c r="C810" s="65" t="inlineStr">
        <is>
          <t>Gupta Electricals</t>
        </is>
      </c>
      <c r="D810" s="65" t="inlineStr">
        <is>
          <t>Ceiling Fan 1200mm</t>
        </is>
      </c>
      <c r="E810" s="66" t="n">
        <v>1</v>
      </c>
      <c r="G810" s="68" t="n">
        <v>0.02</v>
      </c>
      <c r="I810" s="65" t="inlineStr">
        <is>
          <t>Delivered</t>
        </is>
      </c>
    </row>
    <row r="811">
      <c r="A811" s="64" t="n">
        <v>46276</v>
      </c>
      <c r="B811" s="65" t="inlineStr">
        <is>
          <t>INV-0423</t>
        </is>
      </c>
      <c r="C811" s="65" t="inlineStr">
        <is>
          <t>Sharma Kirana Store</t>
        </is>
      </c>
      <c r="D811" s="65" t="inlineStr">
        <is>
          <t>Ceiling Fan 1200mm</t>
        </is>
      </c>
      <c r="E811" s="66" t="n">
        <v>1</v>
      </c>
      <c r="G811" s="68" t="n">
        <v>0.02</v>
      </c>
      <c r="H811" s="65" t="inlineStr">
        <is>
          <t>UPI</t>
        </is>
      </c>
      <c r="I811" s="65" t="inlineStr">
        <is>
          <t>Delivered</t>
        </is>
      </c>
    </row>
    <row r="812">
      <c r="A812" s="64" t="n">
        <v>46276</v>
      </c>
      <c r="B812" s="65" t="inlineStr">
        <is>
          <t>INV-0423</t>
        </is>
      </c>
      <c r="C812" s="65" t="inlineStr">
        <is>
          <t>Sharma Kirana Store</t>
        </is>
      </c>
      <c r="D812" s="65" t="inlineStr">
        <is>
          <t>Toothpaste 150g x12</t>
        </is>
      </c>
      <c r="E812" s="66" t="n">
        <v>2</v>
      </c>
      <c r="H812" s="65" t="inlineStr">
        <is>
          <t>UPI</t>
        </is>
      </c>
      <c r="I812" s="65" t="inlineStr">
        <is>
          <t>Delivered</t>
        </is>
      </c>
    </row>
    <row r="813">
      <c r="A813" s="64" t="n">
        <v>46277</v>
      </c>
      <c r="B813" s="65" t="inlineStr">
        <is>
          <t>INV-0424</t>
        </is>
      </c>
      <c r="C813" s="65" t="inlineStr">
        <is>
          <t>Walk-in Customer</t>
        </is>
      </c>
      <c r="D813" s="65" t="inlineStr">
        <is>
          <t>Basmati Rice 25kg</t>
        </is>
      </c>
      <c r="E813" s="66" t="n">
        <v>1</v>
      </c>
      <c r="H813" s="65" t="inlineStr">
        <is>
          <t>Cash</t>
        </is>
      </c>
      <c r="I813" s="65" t="inlineStr">
        <is>
          <t>Delivered</t>
        </is>
      </c>
    </row>
    <row r="814">
      <c r="A814" s="64" t="n">
        <v>46277</v>
      </c>
      <c r="B814" s="65" t="inlineStr">
        <is>
          <t>INV-0424</t>
        </is>
      </c>
      <c r="C814" s="65" t="inlineStr">
        <is>
          <t>Walk-in Customer</t>
        </is>
      </c>
      <c r="D814" s="65" t="inlineStr">
        <is>
          <t>Detergent 5kg</t>
        </is>
      </c>
      <c r="E814" s="66" t="n">
        <v>3</v>
      </c>
      <c r="G814" s="68" t="n">
        <v>0.02</v>
      </c>
      <c r="H814" s="65" t="inlineStr">
        <is>
          <t>Cash</t>
        </is>
      </c>
      <c r="I814" s="65" t="inlineStr">
        <is>
          <t>Delivered</t>
        </is>
      </c>
    </row>
    <row r="815">
      <c r="A815" s="64" t="n">
        <v>46277</v>
      </c>
      <c r="B815" s="65" t="inlineStr">
        <is>
          <t>INV-0425</t>
        </is>
      </c>
      <c r="C815" s="65" t="inlineStr">
        <is>
          <t>Walk-in Customer</t>
        </is>
      </c>
      <c r="D815" s="65" t="inlineStr">
        <is>
          <t>Cement 50kg</t>
        </is>
      </c>
      <c r="E815" s="66" t="n">
        <v>3</v>
      </c>
      <c r="G815" s="68" t="n">
        <v>0.05</v>
      </c>
      <c r="H815" s="65" t="inlineStr">
        <is>
          <t>Cash</t>
        </is>
      </c>
      <c r="I815" s="65" t="inlineStr">
        <is>
          <t>Delivered</t>
        </is>
      </c>
    </row>
    <row r="816">
      <c r="A816" s="64" t="n">
        <v>46277</v>
      </c>
      <c r="B816" s="65" t="inlineStr">
        <is>
          <t>INV-0425</t>
        </is>
      </c>
      <c r="C816" s="65" t="inlineStr">
        <is>
          <t>Walk-in Customer</t>
        </is>
      </c>
      <c r="D816" s="65" t="inlineStr">
        <is>
          <t>Detergent 5kg</t>
        </is>
      </c>
      <c r="E816" s="66" t="n">
        <v>1</v>
      </c>
      <c r="H816" s="65" t="inlineStr">
        <is>
          <t>Cash</t>
        </is>
      </c>
      <c r="I816" s="65" t="inlineStr">
        <is>
          <t>Delivered</t>
        </is>
      </c>
    </row>
    <row r="817">
      <c r="A817" s="64" t="n">
        <v>46277</v>
      </c>
      <c r="B817" s="65" t="inlineStr">
        <is>
          <t>INV-0425</t>
        </is>
      </c>
      <c r="C817" s="65" t="inlineStr">
        <is>
          <t>Walk-in Customer</t>
        </is>
      </c>
      <c r="D817" s="65" t="inlineStr">
        <is>
          <t>Copper Wire 90m</t>
        </is>
      </c>
      <c r="E817" s="66" t="n">
        <v>1</v>
      </c>
      <c r="G817" s="68" t="n">
        <v>0.02</v>
      </c>
      <c r="H817" s="65" t="inlineStr">
        <is>
          <t>Cash</t>
        </is>
      </c>
      <c r="I817" s="65" t="inlineStr">
        <is>
          <t>Delivered</t>
        </is>
      </c>
    </row>
    <row r="818">
      <c r="A818" s="64" t="n">
        <v>46277</v>
      </c>
      <c r="B818" s="65" t="inlineStr">
        <is>
          <t>INV-0426</t>
        </is>
      </c>
      <c r="C818" s="65" t="inlineStr">
        <is>
          <t>Sharma Kirana Store</t>
        </is>
      </c>
      <c r="D818" s="65" t="inlineStr">
        <is>
          <t>Sugar 50kg</t>
        </is>
      </c>
      <c r="E818" s="66" t="n">
        <v>1</v>
      </c>
      <c r="G818" s="68" t="n">
        <v>0.02</v>
      </c>
      <c r="I818" s="65" t="inlineStr">
        <is>
          <t>Delivered</t>
        </is>
      </c>
    </row>
    <row r="819">
      <c r="A819" s="64" t="n">
        <v>46277</v>
      </c>
      <c r="B819" s="65" t="inlineStr">
        <is>
          <t>INV-0426</t>
        </is>
      </c>
      <c r="C819" s="65" t="inlineStr">
        <is>
          <t>Sharma Kirana Store</t>
        </is>
      </c>
      <c r="D819" s="65" t="inlineStr">
        <is>
          <t>Detergent 5kg</t>
        </is>
      </c>
      <c r="E819" s="66" t="n">
        <v>1</v>
      </c>
      <c r="G819" s="68" t="n">
        <v>0.05</v>
      </c>
      <c r="I819" s="65" t="inlineStr">
        <is>
          <t>Delivered</t>
        </is>
      </c>
    </row>
    <row r="820">
      <c r="A820" s="64" t="n">
        <v>46279</v>
      </c>
      <c r="B820" s="65" t="inlineStr">
        <is>
          <t>INV-0427</t>
        </is>
      </c>
      <c r="C820" s="65" t="inlineStr">
        <is>
          <t>Gupta Electricals</t>
        </is>
      </c>
      <c r="D820" s="65" t="inlineStr">
        <is>
          <t>LED Bulb 9W</t>
        </is>
      </c>
      <c r="E820" s="66" t="n">
        <v>21</v>
      </c>
      <c r="I820" s="65" t="inlineStr">
        <is>
          <t>Delivered</t>
        </is>
      </c>
    </row>
    <row r="821">
      <c r="A821" s="64" t="n">
        <v>46279</v>
      </c>
      <c r="B821" s="65" t="inlineStr">
        <is>
          <t>INV-0428</t>
        </is>
      </c>
      <c r="C821" s="65" t="inlineStr">
        <is>
          <t>Walk-in Customer</t>
        </is>
      </c>
      <c r="D821" s="65" t="inlineStr">
        <is>
          <t>Toothpaste 150g x12</t>
        </is>
      </c>
      <c r="E821" s="66" t="n">
        <v>1</v>
      </c>
      <c r="H821" s="65" t="inlineStr">
        <is>
          <t>Cash</t>
        </is>
      </c>
      <c r="I821" s="65" t="inlineStr">
        <is>
          <t>Delivered</t>
        </is>
      </c>
    </row>
    <row r="822">
      <c r="A822" s="64" t="n">
        <v>46279</v>
      </c>
      <c r="B822" s="65" t="inlineStr">
        <is>
          <t>INV-0428</t>
        </is>
      </c>
      <c r="C822" s="65" t="inlineStr">
        <is>
          <t>Walk-in Customer</t>
        </is>
      </c>
      <c r="D822" s="65" t="inlineStr">
        <is>
          <t>Refined Oil 15L</t>
        </is>
      </c>
      <c r="E822" s="66" t="n">
        <v>1</v>
      </c>
      <c r="G822" s="68" t="n">
        <v>0.05</v>
      </c>
      <c r="H822" s="65" t="inlineStr">
        <is>
          <t>Cash</t>
        </is>
      </c>
      <c r="I822" s="65" t="inlineStr">
        <is>
          <t>Delivered</t>
        </is>
      </c>
    </row>
    <row r="823">
      <c r="A823" s="64" t="n">
        <v>46279</v>
      </c>
      <c r="B823" s="65" t="inlineStr">
        <is>
          <t>INV-0429</t>
        </is>
      </c>
      <c r="C823" s="65" t="inlineStr">
        <is>
          <t>Walk-in Customer</t>
        </is>
      </c>
      <c r="D823" s="65" t="inlineStr">
        <is>
          <t>Copper Wire 90m</t>
        </is>
      </c>
      <c r="E823" s="66" t="n">
        <v>1</v>
      </c>
      <c r="G823" s="68" t="n">
        <v>0.05</v>
      </c>
      <c r="H823" s="65" t="inlineStr">
        <is>
          <t>Cash</t>
        </is>
      </c>
      <c r="I823" s="65" t="inlineStr">
        <is>
          <t>Delivered</t>
        </is>
      </c>
    </row>
    <row r="824">
      <c r="A824" s="64" t="n">
        <v>46279</v>
      </c>
      <c r="B824" s="65" t="inlineStr">
        <is>
          <t>INV-0429</t>
        </is>
      </c>
      <c r="C824" s="65" t="inlineStr">
        <is>
          <t>Walk-in Customer</t>
        </is>
      </c>
      <c r="D824" s="65" t="inlineStr">
        <is>
          <t>Toothpaste 150g x12</t>
        </is>
      </c>
      <c r="E824" s="66" t="n">
        <v>2</v>
      </c>
      <c r="G824" s="68" t="n">
        <v>0.05</v>
      </c>
      <c r="H824" s="65" t="inlineStr">
        <is>
          <t>Cash</t>
        </is>
      </c>
      <c r="I824" s="65" t="inlineStr">
        <is>
          <t>Delivered</t>
        </is>
      </c>
    </row>
    <row r="825">
      <c r="A825" s="64" t="n">
        <v>46280</v>
      </c>
      <c r="B825" s="65" t="inlineStr">
        <is>
          <t>INV-0430</t>
        </is>
      </c>
      <c r="C825" s="65" t="inlineStr">
        <is>
          <t>Delhi Hardware Mart</t>
        </is>
      </c>
      <c r="D825" s="65" t="inlineStr">
        <is>
          <t>Basmati Rice 25kg</t>
        </is>
      </c>
      <c r="E825" s="66" t="n">
        <v>2</v>
      </c>
      <c r="H825" s="65" t="inlineStr">
        <is>
          <t>UPI</t>
        </is>
      </c>
      <c r="I825" s="65" t="inlineStr">
        <is>
          <t>Delivered</t>
        </is>
      </c>
    </row>
    <row r="826">
      <c r="A826" s="64" t="n">
        <v>46280</v>
      </c>
      <c r="B826" s="65" t="inlineStr">
        <is>
          <t>INV-0431</t>
        </is>
      </c>
      <c r="C826" s="65" t="inlineStr">
        <is>
          <t>Walk-in Customer</t>
        </is>
      </c>
      <c r="D826" s="65" t="inlineStr">
        <is>
          <t>Cement 50kg</t>
        </is>
      </c>
      <c r="E826" s="66" t="n">
        <v>9</v>
      </c>
      <c r="H826" s="65" t="inlineStr">
        <is>
          <t>Cash</t>
        </is>
      </c>
      <c r="I826" s="65" t="inlineStr">
        <is>
          <t>Delivered</t>
        </is>
      </c>
    </row>
    <row r="827">
      <c r="A827" s="64" t="n">
        <v>46280</v>
      </c>
      <c r="B827" s="65" t="inlineStr">
        <is>
          <t>INV-0431</t>
        </is>
      </c>
      <c r="C827" s="65" t="inlineStr">
        <is>
          <t>Walk-in Customer</t>
        </is>
      </c>
      <c r="D827" s="65" t="inlineStr">
        <is>
          <t>Detergent 5kg</t>
        </is>
      </c>
      <c r="E827" s="66" t="n">
        <v>3</v>
      </c>
      <c r="G827" s="68" t="n">
        <v>0.05</v>
      </c>
      <c r="H827" s="65" t="inlineStr">
        <is>
          <t>Cash</t>
        </is>
      </c>
      <c r="I827" s="65" t="inlineStr">
        <is>
          <t>Delivered</t>
        </is>
      </c>
    </row>
    <row r="828">
      <c r="A828" s="64" t="n">
        <v>46280</v>
      </c>
      <c r="B828" s="65" t="inlineStr">
        <is>
          <t>INV-0432</t>
        </is>
      </c>
      <c r="C828" s="65" t="inlineStr">
        <is>
          <t>Walk-in Customer</t>
        </is>
      </c>
      <c r="D828" s="65" t="inlineStr">
        <is>
          <t>Detergent 5kg</t>
        </is>
      </c>
      <c r="E828" s="66" t="n">
        <v>1</v>
      </c>
      <c r="G828" s="68" t="n">
        <v>0.05</v>
      </c>
      <c r="H828" s="65" t="inlineStr">
        <is>
          <t>Cash</t>
        </is>
      </c>
      <c r="I828" s="65" t="inlineStr">
        <is>
          <t>Delivered</t>
        </is>
      </c>
    </row>
    <row r="829">
      <c r="A829" s="64" t="n">
        <v>46281</v>
      </c>
      <c r="B829" s="65" t="inlineStr">
        <is>
          <t>INV-0433</t>
        </is>
      </c>
      <c r="C829" s="65" t="inlineStr">
        <is>
          <t>Walk-in Customer</t>
        </is>
      </c>
      <c r="D829" s="65" t="inlineStr">
        <is>
          <t>Detergent 5kg</t>
        </is>
      </c>
      <c r="E829" s="66" t="n">
        <v>1</v>
      </c>
      <c r="G829" s="68" t="n">
        <v>0.02</v>
      </c>
      <c r="H829" s="65" t="inlineStr">
        <is>
          <t>Cash</t>
        </is>
      </c>
      <c r="I829" s="65" t="inlineStr">
        <is>
          <t>Delivered</t>
        </is>
      </c>
    </row>
    <row r="830">
      <c r="A830" s="64" t="n">
        <v>46281</v>
      </c>
      <c r="B830" s="65" t="inlineStr">
        <is>
          <t>INV-0433</t>
        </is>
      </c>
      <c r="C830" s="65" t="inlineStr">
        <is>
          <t>Walk-in Customer</t>
        </is>
      </c>
      <c r="D830" s="65" t="inlineStr">
        <is>
          <t>Toothpaste 150g x12</t>
        </is>
      </c>
      <c r="E830" s="66" t="n">
        <v>2</v>
      </c>
      <c r="H830" s="65" t="inlineStr">
        <is>
          <t>Cash</t>
        </is>
      </c>
      <c r="I830" s="65" t="inlineStr">
        <is>
          <t>Delivered</t>
        </is>
      </c>
    </row>
    <row r="831">
      <c r="A831" s="64" t="n">
        <v>46281</v>
      </c>
      <c r="B831" s="65" t="inlineStr">
        <is>
          <t>INV-0434</t>
        </is>
      </c>
      <c r="C831" s="65" t="inlineStr">
        <is>
          <t>Walk-in Customer</t>
        </is>
      </c>
      <c r="D831" s="65" t="inlineStr">
        <is>
          <t>Toothpaste 150g x12</t>
        </is>
      </c>
      <c r="E831" s="66" t="n">
        <v>2</v>
      </c>
      <c r="H831" s="65" t="inlineStr">
        <is>
          <t>Cash</t>
        </is>
      </c>
      <c r="I831" s="65" t="inlineStr">
        <is>
          <t>Delivered</t>
        </is>
      </c>
    </row>
    <row r="832">
      <c r="A832" s="64" t="n">
        <v>46281</v>
      </c>
      <c r="B832" s="65" t="inlineStr">
        <is>
          <t>INV-0434</t>
        </is>
      </c>
      <c r="C832" s="65" t="inlineStr">
        <is>
          <t>Walk-in Customer</t>
        </is>
      </c>
      <c r="D832" s="65" t="inlineStr">
        <is>
          <t>Basmati Rice 25kg</t>
        </is>
      </c>
      <c r="E832" s="66" t="n">
        <v>1</v>
      </c>
      <c r="G832" s="68" t="n">
        <v>0.02</v>
      </c>
      <c r="H832" s="65" t="inlineStr">
        <is>
          <t>Cash</t>
        </is>
      </c>
      <c r="I832" s="65" t="inlineStr">
        <is>
          <t>Delivered</t>
        </is>
      </c>
    </row>
    <row r="833">
      <c r="A833" s="64" t="n">
        <v>46281</v>
      </c>
      <c r="B833" s="65" t="inlineStr">
        <is>
          <t>INV-0435</t>
        </is>
      </c>
      <c r="C833" s="65" t="inlineStr">
        <is>
          <t>Mehta Constructions</t>
        </is>
      </c>
      <c r="D833" s="65" t="inlineStr">
        <is>
          <t>Ceiling Fan 1200mm</t>
        </is>
      </c>
      <c r="E833" s="66" t="n">
        <v>1</v>
      </c>
      <c r="H833" s="65" t="inlineStr">
        <is>
          <t>Bank</t>
        </is>
      </c>
      <c r="I833" s="65" t="inlineStr">
        <is>
          <t>Delivered</t>
        </is>
      </c>
    </row>
    <row r="834">
      <c r="A834" s="64" t="n">
        <v>46281</v>
      </c>
      <c r="B834" s="65" t="inlineStr">
        <is>
          <t>INV-0435</t>
        </is>
      </c>
      <c r="C834" s="65" t="inlineStr">
        <is>
          <t>Mehta Constructions</t>
        </is>
      </c>
      <c r="D834" s="65" t="inlineStr">
        <is>
          <t>Cement 50kg</t>
        </is>
      </c>
      <c r="E834" s="66" t="n">
        <v>11</v>
      </c>
      <c r="G834" s="68" t="n">
        <v>0.02</v>
      </c>
      <c r="H834" s="65" t="inlineStr">
        <is>
          <t>Bank</t>
        </is>
      </c>
      <c r="I834" s="65" t="inlineStr">
        <is>
          <t>Delivered</t>
        </is>
      </c>
    </row>
    <row r="835">
      <c r="A835" s="64" t="n">
        <v>46282</v>
      </c>
      <c r="B835" s="65" t="inlineStr">
        <is>
          <t>INV-0436</t>
        </is>
      </c>
      <c r="C835" s="65" t="inlineStr">
        <is>
          <t>Sharma Kirana Store</t>
        </is>
      </c>
      <c r="D835" s="65" t="inlineStr">
        <is>
          <t>Tea Premium 1kg</t>
        </is>
      </c>
      <c r="E835" s="66" t="n">
        <v>4</v>
      </c>
      <c r="G835" s="68" t="n">
        <v>0.05</v>
      </c>
      <c r="I835" s="65" t="inlineStr">
        <is>
          <t>Delivered</t>
        </is>
      </c>
    </row>
    <row r="836">
      <c r="A836" s="64" t="n">
        <v>46282</v>
      </c>
      <c r="B836" s="65" t="inlineStr">
        <is>
          <t>INV-0436</t>
        </is>
      </c>
      <c r="C836" s="65" t="inlineStr">
        <is>
          <t>Sharma Kirana Store</t>
        </is>
      </c>
      <c r="D836" s="65" t="inlineStr">
        <is>
          <t>Cement 50kg</t>
        </is>
      </c>
      <c r="E836" s="66" t="n">
        <v>2</v>
      </c>
      <c r="G836" s="68" t="n">
        <v>0.02</v>
      </c>
      <c r="I836" s="65" t="inlineStr">
        <is>
          <t>Delivered</t>
        </is>
      </c>
    </row>
    <row r="837">
      <c r="A837" s="64" t="n">
        <v>46282</v>
      </c>
      <c r="B837" s="65" t="inlineStr">
        <is>
          <t>INV-0437</t>
        </is>
      </c>
      <c r="C837" s="65" t="inlineStr">
        <is>
          <t>Delhi Hardware Mart</t>
        </is>
      </c>
      <c r="D837" s="65" t="inlineStr">
        <is>
          <t>Tea Premium 1kg</t>
        </is>
      </c>
      <c r="E837" s="66" t="n">
        <v>2</v>
      </c>
      <c r="G837" s="68" t="n">
        <v>0.05</v>
      </c>
      <c r="H837" s="65" t="inlineStr">
        <is>
          <t>Bank</t>
        </is>
      </c>
      <c r="I837" s="65" t="inlineStr">
        <is>
          <t>Delivered</t>
        </is>
      </c>
    </row>
    <row r="838">
      <c r="A838" s="64" t="n">
        <v>46282</v>
      </c>
      <c r="B838" s="65" t="inlineStr">
        <is>
          <t>INV-0438</t>
        </is>
      </c>
      <c r="C838" s="65" t="inlineStr">
        <is>
          <t>Sharma Kirana Store</t>
        </is>
      </c>
      <c r="D838" s="65" t="inlineStr">
        <is>
          <t>Sugar 50kg</t>
        </is>
      </c>
      <c r="E838" s="66" t="n">
        <v>1</v>
      </c>
      <c r="H838" s="65" t="inlineStr">
        <is>
          <t>UPI</t>
        </is>
      </c>
      <c r="I838" s="65" t="inlineStr">
        <is>
          <t>Delivered</t>
        </is>
      </c>
    </row>
    <row r="839">
      <c r="A839" s="64" t="n">
        <v>46282</v>
      </c>
      <c r="B839" s="65" t="inlineStr">
        <is>
          <t>INV-0438</t>
        </is>
      </c>
      <c r="C839" s="65" t="inlineStr">
        <is>
          <t>Sharma Kirana Store</t>
        </is>
      </c>
      <c r="D839" s="65" t="inlineStr">
        <is>
          <t>LED Bulb 9W</t>
        </is>
      </c>
      <c r="E839" s="66" t="n">
        <v>18</v>
      </c>
      <c r="H839" s="65" t="inlineStr">
        <is>
          <t>UPI</t>
        </is>
      </c>
      <c r="I839" s="65" t="inlineStr">
        <is>
          <t>Delivered</t>
        </is>
      </c>
    </row>
    <row r="840">
      <c r="A840" s="64" t="n">
        <v>46283</v>
      </c>
      <c r="B840" s="65" t="inlineStr">
        <is>
          <t>INV-0439</t>
        </is>
      </c>
      <c r="C840" s="65" t="inlineStr">
        <is>
          <t>Delhi Hardware Mart</t>
        </is>
      </c>
      <c r="D840" s="65" t="inlineStr">
        <is>
          <t>Basmati Rice 25kg</t>
        </is>
      </c>
      <c r="E840" s="66" t="n">
        <v>2</v>
      </c>
      <c r="H840" s="65" t="inlineStr">
        <is>
          <t>Bank</t>
        </is>
      </c>
      <c r="I840" s="65" t="inlineStr">
        <is>
          <t>Delivered</t>
        </is>
      </c>
    </row>
    <row r="841">
      <c r="A841" s="64" t="n">
        <v>46283</v>
      </c>
      <c r="B841" s="65" t="inlineStr">
        <is>
          <t>INV-0439</t>
        </is>
      </c>
      <c r="C841" s="65" t="inlineStr">
        <is>
          <t>Delhi Hardware Mart</t>
        </is>
      </c>
      <c r="D841" s="65" t="inlineStr">
        <is>
          <t>PVC Pipe 1in 6m</t>
        </is>
      </c>
      <c r="E841" s="66" t="n">
        <v>6</v>
      </c>
      <c r="H841" s="65" t="inlineStr">
        <is>
          <t>Bank</t>
        </is>
      </c>
      <c r="I841" s="65" t="inlineStr">
        <is>
          <t>Delivered</t>
        </is>
      </c>
    </row>
    <row r="842">
      <c r="A842" s="64" t="n">
        <v>46283</v>
      </c>
      <c r="B842" s="65" t="inlineStr">
        <is>
          <t>INV-0439</t>
        </is>
      </c>
      <c r="C842" s="65" t="inlineStr">
        <is>
          <t>Delhi Hardware Mart</t>
        </is>
      </c>
      <c r="D842" s="65" t="inlineStr">
        <is>
          <t>Toothpaste 150g x12</t>
        </is>
      </c>
      <c r="E842" s="66" t="n">
        <v>1</v>
      </c>
      <c r="G842" s="68" t="n">
        <v>0.05</v>
      </c>
      <c r="H842" s="65" t="inlineStr">
        <is>
          <t>Bank</t>
        </is>
      </c>
      <c r="I842" s="65" t="inlineStr">
        <is>
          <t>Delivered</t>
        </is>
      </c>
    </row>
    <row r="843">
      <c r="A843" s="64" t="n">
        <v>46283</v>
      </c>
      <c r="B843" s="65" t="inlineStr">
        <is>
          <t>INV-0440</t>
        </is>
      </c>
      <c r="C843" s="65" t="inlineStr">
        <is>
          <t>Delhi Hardware Mart</t>
        </is>
      </c>
      <c r="D843" s="65" t="inlineStr">
        <is>
          <t>Cement 50kg</t>
        </is>
      </c>
      <c r="E843" s="66" t="n">
        <v>5</v>
      </c>
      <c r="G843" s="68" t="n">
        <v>0.02</v>
      </c>
      <c r="I843" s="65" t="inlineStr">
        <is>
          <t>Delivered</t>
        </is>
      </c>
    </row>
    <row r="844">
      <c r="A844" s="64" t="n">
        <v>46283</v>
      </c>
      <c r="B844" s="65" t="inlineStr">
        <is>
          <t>INV-0441</t>
        </is>
      </c>
      <c r="C844" s="65" t="inlineStr">
        <is>
          <t>FMCG Distributors</t>
        </is>
      </c>
      <c r="D844" s="65" t="inlineStr">
        <is>
          <t>Detergent 5kg</t>
        </is>
      </c>
      <c r="E844" s="66" t="n">
        <v>1</v>
      </c>
      <c r="I844" s="65" t="inlineStr">
        <is>
          <t>Delivered</t>
        </is>
      </c>
    </row>
    <row r="845">
      <c r="A845" s="64" t="n">
        <v>46283</v>
      </c>
      <c r="B845" s="65" t="inlineStr">
        <is>
          <t>INV-0441</t>
        </is>
      </c>
      <c r="C845" s="65" t="inlineStr">
        <is>
          <t>FMCG Distributors</t>
        </is>
      </c>
      <c r="D845" s="65" t="inlineStr">
        <is>
          <t>Copper Wire 90m</t>
        </is>
      </c>
      <c r="E845" s="66" t="n">
        <v>1</v>
      </c>
      <c r="G845" s="68" t="n">
        <v>0.02</v>
      </c>
      <c r="I845" s="65" t="inlineStr">
        <is>
          <t>Delivered</t>
        </is>
      </c>
    </row>
    <row r="846">
      <c r="A846" s="64" t="n">
        <v>46284</v>
      </c>
      <c r="B846" s="65" t="inlineStr">
        <is>
          <t>INV-0442</t>
        </is>
      </c>
      <c r="C846" s="65" t="inlineStr">
        <is>
          <t>Mehta Constructions</t>
        </is>
      </c>
      <c r="D846" s="65" t="inlineStr">
        <is>
          <t>Toothpaste 150g x12</t>
        </is>
      </c>
      <c r="E846" s="66" t="n">
        <v>1</v>
      </c>
      <c r="I846" s="65" t="inlineStr">
        <is>
          <t>Delivered</t>
        </is>
      </c>
    </row>
    <row r="847">
      <c r="A847" s="64" t="n">
        <v>46284</v>
      </c>
      <c r="B847" s="65" t="inlineStr">
        <is>
          <t>INV-0442</t>
        </is>
      </c>
      <c r="C847" s="65" t="inlineStr">
        <is>
          <t>Mehta Constructions</t>
        </is>
      </c>
      <c r="D847" s="65" t="inlineStr">
        <is>
          <t>LED Bulb 9W</t>
        </is>
      </c>
      <c r="E847" s="66" t="n">
        <v>23</v>
      </c>
      <c r="G847" s="68" t="n">
        <v>0.05</v>
      </c>
      <c r="I847" s="65" t="inlineStr">
        <is>
          <t>Delivered</t>
        </is>
      </c>
    </row>
    <row r="848">
      <c r="A848" s="64" t="n">
        <v>46284</v>
      </c>
      <c r="B848" s="65" t="inlineStr">
        <is>
          <t>INV-0442</t>
        </is>
      </c>
      <c r="C848" s="65" t="inlineStr">
        <is>
          <t>Mehta Constructions</t>
        </is>
      </c>
      <c r="D848" s="65" t="inlineStr">
        <is>
          <t>Copper Wire 90m</t>
        </is>
      </c>
      <c r="E848" s="66" t="n">
        <v>1</v>
      </c>
      <c r="G848" s="68" t="n">
        <v>0.02</v>
      </c>
      <c r="I848" s="65" t="inlineStr">
        <is>
          <t>Delivered</t>
        </is>
      </c>
    </row>
    <row r="849">
      <c r="A849" s="64" t="n">
        <v>46284</v>
      </c>
      <c r="B849" s="65" t="inlineStr">
        <is>
          <t>INV-0443</t>
        </is>
      </c>
      <c r="C849" s="65" t="inlineStr">
        <is>
          <t>Delhi Hardware Mart</t>
        </is>
      </c>
      <c r="D849" s="65" t="inlineStr">
        <is>
          <t>Refined Oil 15L</t>
        </is>
      </c>
      <c r="E849" s="66" t="n">
        <v>1</v>
      </c>
      <c r="G849" s="68" t="n">
        <v>0.05</v>
      </c>
      <c r="I849" s="65" t="inlineStr">
        <is>
          <t>Delivered</t>
        </is>
      </c>
    </row>
    <row r="850">
      <c r="A850" s="64" t="n">
        <v>46286</v>
      </c>
      <c r="B850" s="65" t="inlineStr">
        <is>
          <t>INV-0444</t>
        </is>
      </c>
      <c r="C850" s="65" t="inlineStr">
        <is>
          <t>Walk-in Customer</t>
        </is>
      </c>
      <c r="D850" s="65" t="inlineStr">
        <is>
          <t>Detergent 5kg</t>
        </is>
      </c>
      <c r="E850" s="66" t="n">
        <v>1</v>
      </c>
      <c r="G850" s="68" t="n">
        <v>0.02</v>
      </c>
      <c r="H850" s="65" t="inlineStr">
        <is>
          <t>Cash</t>
        </is>
      </c>
      <c r="I850" s="65" t="inlineStr">
        <is>
          <t>Delivered</t>
        </is>
      </c>
    </row>
    <row r="851">
      <c r="A851" s="64" t="n">
        <v>46286</v>
      </c>
      <c r="B851" s="65" t="inlineStr">
        <is>
          <t>INV-0445</t>
        </is>
      </c>
      <c r="C851" s="65" t="inlineStr">
        <is>
          <t>Mehta Constructions</t>
        </is>
      </c>
      <c r="D851" s="65" t="inlineStr">
        <is>
          <t>Copper Wire 90m</t>
        </is>
      </c>
      <c r="E851" s="66" t="n">
        <v>1</v>
      </c>
      <c r="G851" s="68" t="n">
        <v>0.05</v>
      </c>
      <c r="I851" s="65" t="inlineStr">
        <is>
          <t>Delivered</t>
        </is>
      </c>
    </row>
    <row r="852">
      <c r="A852" s="64" t="n">
        <v>46286</v>
      </c>
      <c r="B852" s="65" t="inlineStr">
        <is>
          <t>INV-0445</t>
        </is>
      </c>
      <c r="C852" s="65" t="inlineStr">
        <is>
          <t>Mehta Constructions</t>
        </is>
      </c>
      <c r="D852" s="65" t="inlineStr">
        <is>
          <t>Basmati Rice 25kg</t>
        </is>
      </c>
      <c r="E852" s="66" t="n">
        <v>1</v>
      </c>
      <c r="G852" s="68" t="n">
        <v>0.05</v>
      </c>
      <c r="I852" s="65" t="inlineStr">
        <is>
          <t>Delivered</t>
        </is>
      </c>
    </row>
    <row r="853">
      <c r="A853" s="64" t="n">
        <v>46286</v>
      </c>
      <c r="B853" s="65" t="inlineStr">
        <is>
          <t>INV-0446</t>
        </is>
      </c>
      <c r="C853" s="65" t="inlineStr">
        <is>
          <t>FMCG Distributors</t>
        </is>
      </c>
      <c r="D853" s="65" t="inlineStr">
        <is>
          <t>Sugar 50kg</t>
        </is>
      </c>
      <c r="E853" s="66" t="n">
        <v>1</v>
      </c>
      <c r="G853" s="68" t="n">
        <v>0.05</v>
      </c>
      <c r="I853" s="65" t="inlineStr">
        <is>
          <t>Delivered</t>
        </is>
      </c>
    </row>
    <row r="854">
      <c r="A854" s="64" t="n">
        <v>46286</v>
      </c>
      <c r="B854" s="65" t="inlineStr">
        <is>
          <t>INV-0446</t>
        </is>
      </c>
      <c r="C854" s="65" t="inlineStr">
        <is>
          <t>FMCG Distributors</t>
        </is>
      </c>
      <c r="D854" s="65" t="inlineStr">
        <is>
          <t>PVC Pipe 1in 6m</t>
        </is>
      </c>
      <c r="E854" s="66" t="n">
        <v>7</v>
      </c>
      <c r="G854" s="68" t="n">
        <v>0.02</v>
      </c>
      <c r="I854" s="65" t="inlineStr">
        <is>
          <t>Delivered</t>
        </is>
      </c>
    </row>
    <row r="855">
      <c r="A855" s="64" t="n">
        <v>46286</v>
      </c>
      <c r="B855" s="65" t="inlineStr">
        <is>
          <t>INV-0447</t>
        </is>
      </c>
      <c r="C855" s="65" t="inlineStr">
        <is>
          <t>Gupta Electricals</t>
        </is>
      </c>
      <c r="D855" s="65" t="inlineStr">
        <is>
          <t>Refined Oil 15L</t>
        </is>
      </c>
      <c r="E855" s="66" t="n">
        <v>2</v>
      </c>
      <c r="I855" s="65" t="inlineStr">
        <is>
          <t>Delivered</t>
        </is>
      </c>
    </row>
    <row r="856">
      <c r="A856" s="64" t="n">
        <v>46287</v>
      </c>
      <c r="B856" s="65" t="inlineStr">
        <is>
          <t>INV-0448</t>
        </is>
      </c>
      <c r="C856" s="65" t="inlineStr">
        <is>
          <t>Walk-in Customer</t>
        </is>
      </c>
      <c r="D856" s="65" t="inlineStr">
        <is>
          <t>LED Bulb 9W</t>
        </is>
      </c>
      <c r="E856" s="66" t="n">
        <v>14</v>
      </c>
      <c r="H856" s="65" t="inlineStr">
        <is>
          <t>Cash</t>
        </is>
      </c>
      <c r="I856" s="65" t="inlineStr">
        <is>
          <t>Delivered</t>
        </is>
      </c>
    </row>
    <row r="857">
      <c r="A857" s="64" t="n">
        <v>46287</v>
      </c>
      <c r="B857" s="65" t="inlineStr">
        <is>
          <t>INV-0448</t>
        </is>
      </c>
      <c r="C857" s="65" t="inlineStr">
        <is>
          <t>Walk-in Customer</t>
        </is>
      </c>
      <c r="D857" s="65" t="inlineStr">
        <is>
          <t>Ceiling Fan 1200mm</t>
        </is>
      </c>
      <c r="E857" s="66" t="n">
        <v>1</v>
      </c>
      <c r="H857" s="65" t="inlineStr">
        <is>
          <t>Cash</t>
        </is>
      </c>
      <c r="I857" s="65" t="inlineStr">
        <is>
          <t>Delivered</t>
        </is>
      </c>
    </row>
    <row r="858">
      <c r="A858" s="64" t="n">
        <v>46287</v>
      </c>
      <c r="B858" s="65" t="inlineStr">
        <is>
          <t>INV-0449</t>
        </is>
      </c>
      <c r="C858" s="65" t="inlineStr">
        <is>
          <t>Delhi Hardware Mart</t>
        </is>
      </c>
      <c r="D858" s="65" t="inlineStr">
        <is>
          <t>Detergent 5kg</t>
        </is>
      </c>
      <c r="E858" s="66" t="n">
        <v>1</v>
      </c>
      <c r="H858" s="65" t="inlineStr">
        <is>
          <t>Bank</t>
        </is>
      </c>
      <c r="I858" s="65" t="inlineStr">
        <is>
          <t>Delivered</t>
        </is>
      </c>
    </row>
    <row r="859">
      <c r="A859" s="64" t="n">
        <v>46287</v>
      </c>
      <c r="B859" s="65" t="inlineStr">
        <is>
          <t>INV-0449</t>
        </is>
      </c>
      <c r="C859" s="65" t="inlineStr">
        <is>
          <t>Delhi Hardware Mart</t>
        </is>
      </c>
      <c r="D859" s="65" t="inlineStr">
        <is>
          <t>Refined Oil 15L</t>
        </is>
      </c>
      <c r="E859" s="66" t="n">
        <v>2</v>
      </c>
      <c r="H859" s="65" t="inlineStr">
        <is>
          <t>Bank</t>
        </is>
      </c>
      <c r="I859" s="65" t="inlineStr">
        <is>
          <t>Delivered</t>
        </is>
      </c>
    </row>
    <row r="860">
      <c r="A860" s="64" t="n">
        <v>46287</v>
      </c>
      <c r="B860" s="65" t="inlineStr">
        <is>
          <t>INV-0450</t>
        </is>
      </c>
      <c r="C860" s="65" t="inlineStr">
        <is>
          <t>Sharma Kirana Store</t>
        </is>
      </c>
      <c r="D860" s="65" t="inlineStr">
        <is>
          <t>Cement 50kg</t>
        </is>
      </c>
      <c r="E860" s="66" t="n">
        <v>6</v>
      </c>
      <c r="G860" s="68" t="n">
        <v>0.05</v>
      </c>
      <c r="H860" s="65" t="inlineStr">
        <is>
          <t>Bank</t>
        </is>
      </c>
      <c r="I860" s="65" t="inlineStr">
        <is>
          <t>Delivered</t>
        </is>
      </c>
    </row>
    <row r="861">
      <c r="A861" s="64" t="n">
        <v>46287</v>
      </c>
      <c r="B861" s="65" t="inlineStr">
        <is>
          <t>INV-0450</t>
        </is>
      </c>
      <c r="C861" s="65" t="inlineStr">
        <is>
          <t>Sharma Kirana Store</t>
        </is>
      </c>
      <c r="D861" s="65" t="inlineStr">
        <is>
          <t>LED Bulb 9W</t>
        </is>
      </c>
      <c r="E861" s="66" t="n">
        <v>19</v>
      </c>
      <c r="H861" s="65" t="inlineStr">
        <is>
          <t>Bank</t>
        </is>
      </c>
      <c r="I861" s="65" t="inlineStr">
        <is>
          <t>Delivered</t>
        </is>
      </c>
    </row>
    <row r="862">
      <c r="A862" s="64" t="n">
        <v>46287</v>
      </c>
      <c r="B862" s="65" t="inlineStr">
        <is>
          <t>INV-0451</t>
        </is>
      </c>
      <c r="C862" s="65" t="inlineStr">
        <is>
          <t>Delhi Hardware Mart</t>
        </is>
      </c>
      <c r="D862" s="65" t="inlineStr">
        <is>
          <t>PVC Pipe 1in 6m</t>
        </is>
      </c>
      <c r="E862" s="66" t="n">
        <v>9</v>
      </c>
      <c r="I862" s="65" t="inlineStr">
        <is>
          <t>Delivered</t>
        </is>
      </c>
    </row>
    <row r="863">
      <c r="A863" s="64" t="n">
        <v>46287</v>
      </c>
      <c r="B863" s="65" t="inlineStr">
        <is>
          <t>INV-0451</t>
        </is>
      </c>
      <c r="C863" s="65" t="inlineStr">
        <is>
          <t>Delhi Hardware Mart</t>
        </is>
      </c>
      <c r="D863" s="65" t="inlineStr">
        <is>
          <t>Sugar 50kg</t>
        </is>
      </c>
      <c r="E863" s="66" t="n">
        <v>1</v>
      </c>
      <c r="G863" s="68" t="n">
        <v>0.02</v>
      </c>
      <c r="I863" s="65" t="inlineStr">
        <is>
          <t>Delivered</t>
        </is>
      </c>
    </row>
    <row r="864">
      <c r="A864" s="64" t="n">
        <v>46288</v>
      </c>
      <c r="B864" s="65" t="inlineStr">
        <is>
          <t>INV-0452</t>
        </is>
      </c>
      <c r="C864" s="65" t="inlineStr">
        <is>
          <t>Delhi Hardware Mart</t>
        </is>
      </c>
      <c r="D864" s="65" t="inlineStr">
        <is>
          <t>Ceiling Fan 1200mm</t>
        </is>
      </c>
      <c r="E864" s="66" t="n">
        <v>1</v>
      </c>
      <c r="G864" s="68" t="n">
        <v>0.05</v>
      </c>
      <c r="H864" s="65" t="inlineStr">
        <is>
          <t>UPI</t>
        </is>
      </c>
      <c r="I864" s="65" t="inlineStr">
        <is>
          <t>Delivered</t>
        </is>
      </c>
    </row>
    <row r="865">
      <c r="A865" s="64" t="n">
        <v>46288</v>
      </c>
      <c r="B865" s="65" t="inlineStr">
        <is>
          <t>INV-0452</t>
        </is>
      </c>
      <c r="C865" s="65" t="inlineStr">
        <is>
          <t>Delhi Hardware Mart</t>
        </is>
      </c>
      <c r="D865" s="65" t="inlineStr">
        <is>
          <t>Sugar 50kg</t>
        </is>
      </c>
      <c r="E865" s="66" t="n">
        <v>1</v>
      </c>
      <c r="H865" s="65" t="inlineStr">
        <is>
          <t>UPI</t>
        </is>
      </c>
      <c r="I865" s="65" t="inlineStr">
        <is>
          <t>Delivered</t>
        </is>
      </c>
    </row>
    <row r="866">
      <c r="A866" s="64" t="n">
        <v>46288</v>
      </c>
      <c r="B866" s="65" t="inlineStr">
        <is>
          <t>INV-0453</t>
        </is>
      </c>
      <c r="C866" s="65" t="inlineStr">
        <is>
          <t>Walk-in Customer</t>
        </is>
      </c>
      <c r="D866" s="65" t="inlineStr">
        <is>
          <t>Detergent 5kg</t>
        </is>
      </c>
      <c r="E866" s="66" t="n">
        <v>1</v>
      </c>
      <c r="G866" s="68" t="n">
        <v>0.05</v>
      </c>
      <c r="H866" s="65" t="inlineStr">
        <is>
          <t>Cash</t>
        </is>
      </c>
      <c r="I866" s="65" t="inlineStr">
        <is>
          <t>Delivered</t>
        </is>
      </c>
    </row>
    <row r="867">
      <c r="A867" s="64" t="n">
        <v>46288</v>
      </c>
      <c r="B867" s="65" t="inlineStr">
        <is>
          <t>INV-0453</t>
        </is>
      </c>
      <c r="C867" s="65" t="inlineStr">
        <is>
          <t>Walk-in Customer</t>
        </is>
      </c>
      <c r="D867" s="65" t="inlineStr">
        <is>
          <t>Sugar 50kg</t>
        </is>
      </c>
      <c r="E867" s="66" t="n">
        <v>1</v>
      </c>
      <c r="H867" s="65" t="inlineStr">
        <is>
          <t>Cash</t>
        </is>
      </c>
      <c r="I867" s="65" t="inlineStr">
        <is>
          <t>Delivered</t>
        </is>
      </c>
    </row>
    <row r="868">
      <c r="A868" s="64" t="n">
        <v>46288</v>
      </c>
      <c r="B868" s="65" t="inlineStr">
        <is>
          <t>INV-0454</t>
        </is>
      </c>
      <c r="C868" s="65" t="inlineStr">
        <is>
          <t>FMCG Distributors</t>
        </is>
      </c>
      <c r="D868" s="65" t="inlineStr">
        <is>
          <t>Sugar 50kg</t>
        </is>
      </c>
      <c r="E868" s="66" t="n">
        <v>1</v>
      </c>
      <c r="I868" s="65" t="inlineStr">
        <is>
          <t>Delivered</t>
        </is>
      </c>
    </row>
    <row r="869">
      <c r="A869" s="64" t="n">
        <v>46289</v>
      </c>
      <c r="B869" s="65" t="inlineStr">
        <is>
          <t>INV-0455</t>
        </is>
      </c>
      <c r="C869" s="65" t="inlineStr">
        <is>
          <t>Sharma Kirana Store</t>
        </is>
      </c>
      <c r="D869" s="65" t="inlineStr">
        <is>
          <t>Copper Wire 90m</t>
        </is>
      </c>
      <c r="E869" s="66" t="n">
        <v>1</v>
      </c>
      <c r="G869" s="68" t="n">
        <v>0.02</v>
      </c>
      <c r="H869" s="65" t="inlineStr">
        <is>
          <t>UPI</t>
        </is>
      </c>
      <c r="I869" s="65" t="inlineStr">
        <is>
          <t>Delivered</t>
        </is>
      </c>
    </row>
    <row r="870">
      <c r="A870" s="64" t="n">
        <v>46289</v>
      </c>
      <c r="B870" s="65" t="inlineStr">
        <is>
          <t>INV-0455</t>
        </is>
      </c>
      <c r="C870" s="65" t="inlineStr">
        <is>
          <t>Sharma Kirana Store</t>
        </is>
      </c>
      <c r="D870" s="65" t="inlineStr">
        <is>
          <t>Detergent 5kg</t>
        </is>
      </c>
      <c r="E870" s="66" t="n">
        <v>2</v>
      </c>
      <c r="G870" s="68" t="n">
        <v>0.05</v>
      </c>
      <c r="H870" s="65" t="inlineStr">
        <is>
          <t>UPI</t>
        </is>
      </c>
      <c r="I870" s="65" t="inlineStr">
        <is>
          <t>Delivered</t>
        </is>
      </c>
    </row>
    <row r="871">
      <c r="A871" s="64" t="n">
        <v>46289</v>
      </c>
      <c r="B871" s="65" t="inlineStr">
        <is>
          <t>INV-0456</t>
        </is>
      </c>
      <c r="C871" s="65" t="inlineStr">
        <is>
          <t>Sharma Kirana Store</t>
        </is>
      </c>
      <c r="D871" s="65" t="inlineStr">
        <is>
          <t>Sugar 50kg</t>
        </is>
      </c>
      <c r="E871" s="66" t="n">
        <v>1</v>
      </c>
      <c r="I871" s="65" t="inlineStr">
        <is>
          <t>Delivered</t>
        </is>
      </c>
    </row>
    <row r="872">
      <c r="A872" s="64" t="n">
        <v>46289</v>
      </c>
      <c r="B872" s="65" t="inlineStr">
        <is>
          <t>INV-0456</t>
        </is>
      </c>
      <c r="C872" s="65" t="inlineStr">
        <is>
          <t>Sharma Kirana Store</t>
        </is>
      </c>
      <c r="D872" s="65" t="inlineStr">
        <is>
          <t>Copper Wire 90m</t>
        </is>
      </c>
      <c r="E872" s="66" t="n">
        <v>1</v>
      </c>
      <c r="G872" s="68" t="n">
        <v>0.05</v>
      </c>
      <c r="I872" s="65" t="inlineStr">
        <is>
          <t>Delivered</t>
        </is>
      </c>
    </row>
    <row r="873">
      <c r="A873" s="64" t="n">
        <v>46289</v>
      </c>
      <c r="B873" s="65" t="inlineStr">
        <is>
          <t>INV-0456</t>
        </is>
      </c>
      <c r="C873" s="65" t="inlineStr">
        <is>
          <t>Sharma Kirana Store</t>
        </is>
      </c>
      <c r="D873" s="65" t="inlineStr">
        <is>
          <t>Tea Premium 1kg</t>
        </is>
      </c>
      <c r="E873" s="66" t="n">
        <v>3</v>
      </c>
      <c r="I873" s="65" t="inlineStr">
        <is>
          <t>Delivered</t>
        </is>
      </c>
    </row>
    <row r="874">
      <c r="A874" s="64" t="n">
        <v>46289</v>
      </c>
      <c r="B874" s="65" t="inlineStr">
        <is>
          <t>INV-0457</t>
        </is>
      </c>
      <c r="C874" s="65" t="inlineStr">
        <is>
          <t>Walk-in Customer</t>
        </is>
      </c>
      <c r="D874" s="65" t="inlineStr">
        <is>
          <t>Cement 50kg</t>
        </is>
      </c>
      <c r="E874" s="66" t="n">
        <v>9</v>
      </c>
      <c r="H874" s="65" t="inlineStr">
        <is>
          <t>Cash</t>
        </is>
      </c>
      <c r="I874" s="65" t="inlineStr">
        <is>
          <t>Delivered</t>
        </is>
      </c>
    </row>
    <row r="875">
      <c r="A875" s="64" t="n">
        <v>46289</v>
      </c>
      <c r="B875" s="65" t="inlineStr">
        <is>
          <t>INV-0457</t>
        </is>
      </c>
      <c r="C875" s="65" t="inlineStr">
        <is>
          <t>Walk-in Customer</t>
        </is>
      </c>
      <c r="D875" s="65" t="inlineStr">
        <is>
          <t>PVC Pipe 1in 6m</t>
        </is>
      </c>
      <c r="E875" s="66" t="n">
        <v>8</v>
      </c>
      <c r="H875" s="65" t="inlineStr">
        <is>
          <t>Cash</t>
        </is>
      </c>
      <c r="I875" s="65" t="inlineStr">
        <is>
          <t>Delivered</t>
        </is>
      </c>
    </row>
    <row r="876">
      <c r="A876" s="64" t="n">
        <v>46290</v>
      </c>
      <c r="B876" s="65" t="inlineStr">
        <is>
          <t>INV-0458</t>
        </is>
      </c>
      <c r="C876" s="65" t="inlineStr">
        <is>
          <t>Walk-in Customer</t>
        </is>
      </c>
      <c r="D876" s="65" t="inlineStr">
        <is>
          <t>Sugar 50kg</t>
        </is>
      </c>
      <c r="E876" s="66" t="n">
        <v>1</v>
      </c>
      <c r="H876" s="65" t="inlineStr">
        <is>
          <t>Cash</t>
        </is>
      </c>
      <c r="I876" s="65" t="inlineStr">
        <is>
          <t>Delivered</t>
        </is>
      </c>
    </row>
    <row r="877">
      <c r="A877" s="64" t="n">
        <v>46290</v>
      </c>
      <c r="B877" s="65" t="inlineStr">
        <is>
          <t>INV-0459</t>
        </is>
      </c>
      <c r="C877" s="65" t="inlineStr">
        <is>
          <t>Gupta Electricals</t>
        </is>
      </c>
      <c r="D877" s="65" t="inlineStr">
        <is>
          <t>PVC Pipe 1in 6m</t>
        </is>
      </c>
      <c r="E877" s="66" t="n">
        <v>3</v>
      </c>
      <c r="H877" s="65" t="inlineStr">
        <is>
          <t>UPI</t>
        </is>
      </c>
      <c r="I877" s="65" t="inlineStr">
        <is>
          <t>Delivered</t>
        </is>
      </c>
    </row>
    <row r="878">
      <c r="A878" s="64" t="n">
        <v>46290</v>
      </c>
      <c r="B878" s="65" t="inlineStr">
        <is>
          <t>INV-0459</t>
        </is>
      </c>
      <c r="C878" s="65" t="inlineStr">
        <is>
          <t>Gupta Electricals</t>
        </is>
      </c>
      <c r="D878" s="65" t="inlineStr">
        <is>
          <t>Cement 50kg</t>
        </is>
      </c>
      <c r="E878" s="66" t="n">
        <v>10</v>
      </c>
      <c r="G878" s="68" t="n">
        <v>0.05</v>
      </c>
      <c r="H878" s="65" t="inlineStr">
        <is>
          <t>UPI</t>
        </is>
      </c>
      <c r="I878" s="65" t="inlineStr">
        <is>
          <t>Delivered</t>
        </is>
      </c>
    </row>
    <row r="879">
      <c r="A879" s="64" t="n">
        <v>46290</v>
      </c>
      <c r="B879" s="65" t="inlineStr">
        <is>
          <t>INV-0459</t>
        </is>
      </c>
      <c r="C879" s="65" t="inlineStr">
        <is>
          <t>Gupta Electricals</t>
        </is>
      </c>
      <c r="D879" s="65" t="inlineStr">
        <is>
          <t>LED Bulb 9W</t>
        </is>
      </c>
      <c r="E879" s="66" t="n">
        <v>11</v>
      </c>
      <c r="H879" s="65" t="inlineStr">
        <is>
          <t>UPI</t>
        </is>
      </c>
      <c r="I879" s="65" t="inlineStr">
        <is>
          <t>Delivered</t>
        </is>
      </c>
    </row>
    <row r="880">
      <c r="A880" s="64" t="n">
        <v>46290</v>
      </c>
      <c r="B880" s="65" t="inlineStr">
        <is>
          <t>INV-0460</t>
        </is>
      </c>
      <c r="C880" s="65" t="inlineStr">
        <is>
          <t>Gupta Electricals</t>
        </is>
      </c>
      <c r="D880" s="65" t="inlineStr">
        <is>
          <t>LED Bulb 9W</t>
        </is>
      </c>
      <c r="E880" s="66" t="n">
        <v>24</v>
      </c>
      <c r="G880" s="68" t="n">
        <v>0.05</v>
      </c>
      <c r="H880" s="65" t="inlineStr">
        <is>
          <t>UPI</t>
        </is>
      </c>
      <c r="I880" s="65" t="inlineStr">
        <is>
          <t>Delivered</t>
        </is>
      </c>
    </row>
    <row r="881">
      <c r="A881" s="64" t="n">
        <v>46290</v>
      </c>
      <c r="B881" s="65" t="inlineStr">
        <is>
          <t>INV-0460</t>
        </is>
      </c>
      <c r="C881" s="65" t="inlineStr">
        <is>
          <t>Gupta Electricals</t>
        </is>
      </c>
      <c r="D881" s="65" t="inlineStr">
        <is>
          <t>Copper Wire 90m</t>
        </is>
      </c>
      <c r="E881" s="66" t="n">
        <v>1</v>
      </c>
      <c r="H881" s="65" t="inlineStr">
        <is>
          <t>UPI</t>
        </is>
      </c>
      <c r="I881" s="65" t="inlineStr">
        <is>
          <t>Delivered</t>
        </is>
      </c>
    </row>
    <row r="882">
      <c r="A882" s="64" t="n">
        <v>46291</v>
      </c>
      <c r="B882" s="65" t="inlineStr">
        <is>
          <t>INV-0461</t>
        </is>
      </c>
      <c r="C882" s="65" t="inlineStr">
        <is>
          <t>Sharma Kirana Store</t>
        </is>
      </c>
      <c r="D882" s="65" t="inlineStr">
        <is>
          <t>Sugar 50kg</t>
        </is>
      </c>
      <c r="E882" s="66" t="n">
        <v>1</v>
      </c>
      <c r="G882" s="68" t="n">
        <v>0.02</v>
      </c>
      <c r="H882" s="65" t="inlineStr">
        <is>
          <t>Bank</t>
        </is>
      </c>
      <c r="I882" s="65" t="inlineStr">
        <is>
          <t>Delivered</t>
        </is>
      </c>
    </row>
    <row r="883">
      <c r="A883" s="64" t="n">
        <v>46291</v>
      </c>
      <c r="B883" s="65" t="inlineStr">
        <is>
          <t>INV-0462</t>
        </is>
      </c>
      <c r="C883" s="65" t="inlineStr">
        <is>
          <t>Sharma Kirana Store</t>
        </is>
      </c>
      <c r="D883" s="65" t="inlineStr">
        <is>
          <t>PVC Pipe 1in 6m</t>
        </is>
      </c>
      <c r="E883" s="66" t="n">
        <v>7</v>
      </c>
      <c r="G883" s="68" t="n">
        <v>0.05</v>
      </c>
      <c r="H883" s="65" t="inlineStr">
        <is>
          <t>Bank</t>
        </is>
      </c>
      <c r="I883" s="65" t="inlineStr">
        <is>
          <t>Delivered</t>
        </is>
      </c>
    </row>
    <row r="884">
      <c r="A884" s="64" t="n">
        <v>46291</v>
      </c>
      <c r="B884" s="65" t="inlineStr">
        <is>
          <t>INV-0462</t>
        </is>
      </c>
      <c r="C884" s="65" t="inlineStr">
        <is>
          <t>Sharma Kirana Store</t>
        </is>
      </c>
      <c r="D884" s="65" t="inlineStr">
        <is>
          <t>Toothpaste 150g x12</t>
        </is>
      </c>
      <c r="E884" s="66" t="n">
        <v>1</v>
      </c>
      <c r="H884" s="65" t="inlineStr">
        <is>
          <t>Bank</t>
        </is>
      </c>
      <c r="I884" s="65" t="inlineStr">
        <is>
          <t>Delivered</t>
        </is>
      </c>
    </row>
    <row r="885">
      <c r="A885" s="64" t="n">
        <v>46291</v>
      </c>
      <c r="B885" s="65" t="inlineStr">
        <is>
          <t>INV-0463</t>
        </is>
      </c>
      <c r="C885" s="65" t="inlineStr">
        <is>
          <t>Mehta Constructions</t>
        </is>
      </c>
      <c r="D885" s="65" t="inlineStr">
        <is>
          <t>Ceiling Fan 1200mm</t>
        </is>
      </c>
      <c r="E885" s="66" t="n">
        <v>1</v>
      </c>
      <c r="I885" s="65" t="inlineStr">
        <is>
          <t>Delivered</t>
        </is>
      </c>
    </row>
    <row r="886">
      <c r="A886" s="64" t="n">
        <v>46293</v>
      </c>
      <c r="B886" s="65" t="inlineStr">
        <is>
          <t>INV-0464</t>
        </is>
      </c>
      <c r="C886" s="65" t="inlineStr">
        <is>
          <t>Sharma Kirana Store</t>
        </is>
      </c>
      <c r="D886" s="65" t="inlineStr">
        <is>
          <t>Toothpaste 150g x12</t>
        </is>
      </c>
      <c r="E886" s="66" t="n">
        <v>1</v>
      </c>
      <c r="H886" s="65" t="inlineStr">
        <is>
          <t>UPI</t>
        </is>
      </c>
      <c r="I886" s="65" t="inlineStr">
        <is>
          <t>Delivered</t>
        </is>
      </c>
    </row>
    <row r="887">
      <c r="A887" s="64" t="n">
        <v>46293</v>
      </c>
      <c r="B887" s="65" t="inlineStr">
        <is>
          <t>INV-0465</t>
        </is>
      </c>
      <c r="C887" s="65" t="inlineStr">
        <is>
          <t>FMCG Distributors</t>
        </is>
      </c>
      <c r="D887" s="65" t="inlineStr">
        <is>
          <t>Sugar 50kg</t>
        </is>
      </c>
      <c r="E887" s="66" t="n">
        <v>1</v>
      </c>
      <c r="H887" s="65" t="inlineStr">
        <is>
          <t>UPI</t>
        </is>
      </c>
      <c r="I887" s="65" t="inlineStr">
        <is>
          <t>Delivered</t>
        </is>
      </c>
    </row>
    <row r="888">
      <c r="A888" s="64" t="n">
        <v>46293</v>
      </c>
      <c r="B888" s="65" t="inlineStr">
        <is>
          <t>INV-0465</t>
        </is>
      </c>
      <c r="C888" s="65" t="inlineStr">
        <is>
          <t>FMCG Distributors</t>
        </is>
      </c>
      <c r="D888" s="65" t="inlineStr">
        <is>
          <t>Toothpaste 150g x12</t>
        </is>
      </c>
      <c r="E888" s="66" t="n">
        <v>2</v>
      </c>
      <c r="G888" s="68" t="n">
        <v>0.05</v>
      </c>
      <c r="H888" s="65" t="inlineStr">
        <is>
          <t>UPI</t>
        </is>
      </c>
      <c r="I888" s="65" t="inlineStr">
        <is>
          <t>Delivered</t>
        </is>
      </c>
    </row>
    <row r="889">
      <c r="A889" s="64" t="n">
        <v>46293</v>
      </c>
      <c r="B889" s="65" t="inlineStr">
        <is>
          <t>INV-0466</t>
        </is>
      </c>
      <c r="C889" s="65" t="inlineStr">
        <is>
          <t>Mehta Constructions</t>
        </is>
      </c>
      <c r="D889" s="65" t="inlineStr">
        <is>
          <t>Tea Premium 1kg</t>
        </is>
      </c>
      <c r="E889" s="66" t="n">
        <v>3</v>
      </c>
      <c r="H889" s="65" t="inlineStr">
        <is>
          <t>Bank</t>
        </is>
      </c>
      <c r="I889" s="65" t="inlineStr">
        <is>
          <t>Delivered</t>
        </is>
      </c>
    </row>
    <row r="890">
      <c r="A890" s="64" t="n">
        <v>46293</v>
      </c>
      <c r="B890" s="65" t="inlineStr">
        <is>
          <t>INV-0466</t>
        </is>
      </c>
      <c r="C890" s="65" t="inlineStr">
        <is>
          <t>Mehta Constructions</t>
        </is>
      </c>
      <c r="D890" s="65" t="inlineStr">
        <is>
          <t>Toothpaste 150g x12</t>
        </is>
      </c>
      <c r="E890" s="66" t="n">
        <v>1</v>
      </c>
      <c r="G890" s="68" t="n">
        <v>0.05</v>
      </c>
      <c r="H890" s="65" t="inlineStr">
        <is>
          <t>Bank</t>
        </is>
      </c>
      <c r="I890" s="65" t="inlineStr">
        <is>
          <t>Delivered</t>
        </is>
      </c>
    </row>
    <row r="891">
      <c r="A891" s="64" t="n">
        <v>46293</v>
      </c>
      <c r="B891" s="65" t="inlineStr">
        <is>
          <t>INV-0466</t>
        </is>
      </c>
      <c r="C891" s="65" t="inlineStr">
        <is>
          <t>Mehta Constructions</t>
        </is>
      </c>
      <c r="D891" s="65" t="inlineStr">
        <is>
          <t>Detergent 5kg</t>
        </is>
      </c>
      <c r="E891" s="66" t="n">
        <v>2</v>
      </c>
      <c r="G891" s="68" t="n">
        <v>0.02</v>
      </c>
      <c r="H891" s="65" t="inlineStr">
        <is>
          <t>Bank</t>
        </is>
      </c>
      <c r="I891" s="65" t="inlineStr">
        <is>
          <t>Delivered</t>
        </is>
      </c>
    </row>
    <row r="892">
      <c r="A892" s="64" t="n">
        <v>46293</v>
      </c>
      <c r="B892" s="65" t="inlineStr">
        <is>
          <t>INV-0467</t>
        </is>
      </c>
      <c r="C892" s="65" t="inlineStr">
        <is>
          <t>Delhi Hardware Mart</t>
        </is>
      </c>
      <c r="D892" s="65" t="inlineStr">
        <is>
          <t>Refined Oil 15L</t>
        </is>
      </c>
      <c r="E892" s="66" t="n">
        <v>1</v>
      </c>
      <c r="G892" s="68" t="n">
        <v>0.05</v>
      </c>
      <c r="H892" s="65" t="inlineStr">
        <is>
          <t>UPI</t>
        </is>
      </c>
      <c r="I892" s="65" t="inlineStr">
        <is>
          <t>Delivered</t>
        </is>
      </c>
    </row>
    <row r="893">
      <c r="A893" s="64" t="n">
        <v>46293</v>
      </c>
      <c r="B893" s="65" t="inlineStr">
        <is>
          <t>INV-0467</t>
        </is>
      </c>
      <c r="C893" s="65" t="inlineStr">
        <is>
          <t>Delhi Hardware Mart</t>
        </is>
      </c>
      <c r="D893" s="65" t="inlineStr">
        <is>
          <t>Basmati Rice 25kg</t>
        </is>
      </c>
      <c r="E893" s="66" t="n">
        <v>1</v>
      </c>
      <c r="H893" s="65" t="inlineStr">
        <is>
          <t>UPI</t>
        </is>
      </c>
      <c r="I893" s="65" t="inlineStr">
        <is>
          <t>Delivered</t>
        </is>
      </c>
    </row>
    <row r="894">
      <c r="A894" s="64" t="n">
        <v>46294</v>
      </c>
      <c r="B894" s="65" t="inlineStr">
        <is>
          <t>INV-0468</t>
        </is>
      </c>
      <c r="C894" s="65" t="inlineStr">
        <is>
          <t>Gupta Electricals</t>
        </is>
      </c>
      <c r="D894" s="65" t="inlineStr">
        <is>
          <t>Tea Premium 1kg</t>
        </is>
      </c>
      <c r="E894" s="66" t="n">
        <v>4</v>
      </c>
      <c r="G894" s="68" t="n">
        <v>0.05</v>
      </c>
      <c r="H894" s="65" t="inlineStr">
        <is>
          <t>UPI</t>
        </is>
      </c>
      <c r="I894" s="65" t="inlineStr">
        <is>
          <t>Delivered</t>
        </is>
      </c>
    </row>
    <row r="895">
      <c r="A895" s="64" t="n">
        <v>46294</v>
      </c>
      <c r="B895" s="65" t="inlineStr">
        <is>
          <t>INV-0469</t>
        </is>
      </c>
      <c r="C895" s="65" t="inlineStr">
        <is>
          <t>Gupta Electricals</t>
        </is>
      </c>
      <c r="D895" s="65" t="inlineStr">
        <is>
          <t>Cement 50kg</t>
        </is>
      </c>
      <c r="E895" s="66" t="n">
        <v>11</v>
      </c>
      <c r="G895" s="68" t="n">
        <v>0.02</v>
      </c>
      <c r="I895" s="65" t="inlineStr">
        <is>
          <t>Delivered</t>
        </is>
      </c>
    </row>
    <row r="896">
      <c r="A896" s="64" t="n">
        <v>46294</v>
      </c>
      <c r="B896" s="65" t="inlineStr">
        <is>
          <t>INV-0469</t>
        </is>
      </c>
      <c r="C896" s="65" t="inlineStr">
        <is>
          <t>Gupta Electricals</t>
        </is>
      </c>
      <c r="D896" s="65" t="inlineStr">
        <is>
          <t>PVC Pipe 1in 6m</t>
        </is>
      </c>
      <c r="E896" s="66" t="n">
        <v>8</v>
      </c>
      <c r="I896" s="65" t="inlineStr">
        <is>
          <t>Delivered</t>
        </is>
      </c>
    </row>
    <row r="897">
      <c r="A897" s="64" t="n">
        <v>46295</v>
      </c>
      <c r="B897" s="65" t="inlineStr">
        <is>
          <t>INV-0470</t>
        </is>
      </c>
      <c r="C897" s="65" t="inlineStr">
        <is>
          <t>Walk-in Customer</t>
        </is>
      </c>
      <c r="D897" s="65" t="inlineStr">
        <is>
          <t>Toothpaste 150g x12</t>
        </is>
      </c>
      <c r="E897" s="66" t="n">
        <v>2</v>
      </c>
      <c r="H897" s="65" t="inlineStr">
        <is>
          <t>Cash</t>
        </is>
      </c>
      <c r="I897" s="65" t="inlineStr">
        <is>
          <t>Delivered</t>
        </is>
      </c>
    </row>
    <row r="898">
      <c r="A898" s="64" t="n">
        <v>46295</v>
      </c>
      <c r="B898" s="65" t="inlineStr">
        <is>
          <t>INV-0470</t>
        </is>
      </c>
      <c r="C898" s="65" t="inlineStr">
        <is>
          <t>Walk-in Customer</t>
        </is>
      </c>
      <c r="D898" s="65" t="inlineStr">
        <is>
          <t>LED Bulb 9W</t>
        </is>
      </c>
      <c r="E898" s="66" t="n">
        <v>16</v>
      </c>
      <c r="H898" s="65" t="inlineStr">
        <is>
          <t>Cash</t>
        </is>
      </c>
      <c r="I898" s="65" t="inlineStr">
        <is>
          <t>Delivered</t>
        </is>
      </c>
    </row>
    <row r="899">
      <c r="A899" s="64" t="n">
        <v>46295</v>
      </c>
      <c r="B899" s="65" t="inlineStr">
        <is>
          <t>INV-0471</t>
        </is>
      </c>
      <c r="C899" s="65" t="inlineStr">
        <is>
          <t>Walk-in Customer</t>
        </is>
      </c>
      <c r="D899" s="65" t="inlineStr">
        <is>
          <t>Copper Wire 90m</t>
        </is>
      </c>
      <c r="E899" s="66" t="n">
        <v>1</v>
      </c>
      <c r="G899" s="68" t="n">
        <v>0.02</v>
      </c>
      <c r="H899" s="65" t="inlineStr">
        <is>
          <t>Cash</t>
        </is>
      </c>
      <c r="I899" s="65" t="inlineStr">
        <is>
          <t>Delivered</t>
        </is>
      </c>
    </row>
    <row r="900">
      <c r="A900" s="64" t="n">
        <v>46295</v>
      </c>
      <c r="B900" s="65" t="inlineStr">
        <is>
          <t>INV-0471</t>
        </is>
      </c>
      <c r="C900" s="65" t="inlineStr">
        <is>
          <t>Walk-in Customer</t>
        </is>
      </c>
      <c r="D900" s="65" t="inlineStr">
        <is>
          <t>Cement 50kg</t>
        </is>
      </c>
      <c r="E900" s="66" t="n">
        <v>10</v>
      </c>
      <c r="G900" s="68" t="n">
        <v>0.05</v>
      </c>
      <c r="H900" s="65" t="inlineStr">
        <is>
          <t>Cash</t>
        </is>
      </c>
      <c r="I900" s="65" t="inlineStr">
        <is>
          <t>Delivered</t>
        </is>
      </c>
    </row>
    <row r="901">
      <c r="A901" s="64" t="n">
        <v>46296</v>
      </c>
      <c r="B901" s="65" t="inlineStr">
        <is>
          <t>INV-0472</t>
        </is>
      </c>
      <c r="C901" s="65" t="inlineStr">
        <is>
          <t>Delhi Hardware Mart</t>
        </is>
      </c>
      <c r="D901" s="65" t="inlineStr">
        <is>
          <t>Cement 50kg</t>
        </is>
      </c>
      <c r="E901" s="66" t="n">
        <v>9</v>
      </c>
      <c r="I901" s="65" t="inlineStr">
        <is>
          <t>Delivered</t>
        </is>
      </c>
    </row>
    <row r="902">
      <c r="A902" s="64" t="n">
        <v>46296</v>
      </c>
      <c r="B902" s="65" t="inlineStr">
        <is>
          <t>INV-0472</t>
        </is>
      </c>
      <c r="C902" s="65" t="inlineStr">
        <is>
          <t>Delhi Hardware Mart</t>
        </is>
      </c>
      <c r="D902" s="65" t="inlineStr">
        <is>
          <t>LED Bulb 9W</t>
        </is>
      </c>
      <c r="E902" s="66" t="n">
        <v>5</v>
      </c>
      <c r="G902" s="68" t="n">
        <v>0.05</v>
      </c>
      <c r="I902" s="65" t="inlineStr">
        <is>
          <t>Delivered</t>
        </is>
      </c>
    </row>
    <row r="903">
      <c r="A903" s="64" t="n">
        <v>46296</v>
      </c>
      <c r="B903" s="65" t="inlineStr">
        <is>
          <t>INV-0472</t>
        </is>
      </c>
      <c r="C903" s="65" t="inlineStr">
        <is>
          <t>Delhi Hardware Mart</t>
        </is>
      </c>
      <c r="D903" s="65" t="inlineStr">
        <is>
          <t>Sugar 50kg</t>
        </is>
      </c>
      <c r="E903" s="66" t="n">
        <v>1</v>
      </c>
      <c r="I903" s="65" t="inlineStr">
        <is>
          <t>Delivered</t>
        </is>
      </c>
    </row>
    <row r="904">
      <c r="A904" s="64" t="n">
        <v>46296</v>
      </c>
      <c r="B904" s="65" t="inlineStr">
        <is>
          <t>INV-0473</t>
        </is>
      </c>
      <c r="C904" s="65" t="inlineStr">
        <is>
          <t>Sharma Kirana Store</t>
        </is>
      </c>
      <c r="D904" s="65" t="inlineStr">
        <is>
          <t>Tea Premium 1kg</t>
        </is>
      </c>
      <c r="E904" s="66" t="n">
        <v>4</v>
      </c>
      <c r="I904" s="65" t="inlineStr">
        <is>
          <t>Delivered</t>
        </is>
      </c>
    </row>
    <row r="905">
      <c r="A905" s="64" t="n">
        <v>46296</v>
      </c>
      <c r="B905" s="65" t="inlineStr">
        <is>
          <t>INV-0474</t>
        </is>
      </c>
      <c r="C905" s="65" t="inlineStr">
        <is>
          <t>Walk-in Customer</t>
        </is>
      </c>
      <c r="D905" s="65" t="inlineStr">
        <is>
          <t>LED Bulb 9W</t>
        </is>
      </c>
      <c r="E905" s="66" t="n">
        <v>9</v>
      </c>
      <c r="H905" s="65" t="inlineStr">
        <is>
          <t>Cash</t>
        </is>
      </c>
      <c r="I905" s="65" t="inlineStr">
        <is>
          <t>Delivered</t>
        </is>
      </c>
    </row>
    <row r="906">
      <c r="A906" s="64" t="n">
        <v>46296</v>
      </c>
      <c r="B906" s="65" t="inlineStr">
        <is>
          <t>INV-0475</t>
        </is>
      </c>
      <c r="C906" s="65" t="inlineStr">
        <is>
          <t>Sharma Kirana Store</t>
        </is>
      </c>
      <c r="D906" s="65" t="inlineStr">
        <is>
          <t>Detergent 5kg</t>
        </is>
      </c>
      <c r="E906" s="66" t="n">
        <v>2</v>
      </c>
      <c r="G906" s="68" t="n">
        <v>0.02</v>
      </c>
      <c r="H906" s="65" t="inlineStr">
        <is>
          <t>Bank</t>
        </is>
      </c>
      <c r="I906" s="65" t="inlineStr">
        <is>
          <t>Delivered</t>
        </is>
      </c>
    </row>
    <row r="907">
      <c r="A907" s="64" t="n">
        <v>46296</v>
      </c>
      <c r="B907" s="65" t="inlineStr">
        <is>
          <t>INV-0475</t>
        </is>
      </c>
      <c r="C907" s="65" t="inlineStr">
        <is>
          <t>Sharma Kirana Store</t>
        </is>
      </c>
      <c r="D907" s="65" t="inlineStr">
        <is>
          <t>Basmati Rice 25kg</t>
        </is>
      </c>
      <c r="E907" s="66" t="n">
        <v>2</v>
      </c>
      <c r="H907" s="65" t="inlineStr">
        <is>
          <t>Bank</t>
        </is>
      </c>
      <c r="I907" s="65" t="inlineStr">
        <is>
          <t>Delivered</t>
        </is>
      </c>
    </row>
    <row r="908">
      <c r="A908" s="64" t="n">
        <v>46296</v>
      </c>
      <c r="B908" s="65" t="inlineStr">
        <is>
          <t>INV-0475</t>
        </is>
      </c>
      <c r="C908" s="65" t="inlineStr">
        <is>
          <t>Sharma Kirana Store</t>
        </is>
      </c>
      <c r="D908" s="65" t="inlineStr">
        <is>
          <t>Refined Oil 15L</t>
        </is>
      </c>
      <c r="E908" s="66" t="n">
        <v>2</v>
      </c>
      <c r="H908" s="65" t="inlineStr">
        <is>
          <t>Bank</t>
        </is>
      </c>
      <c r="I908" s="65" t="inlineStr">
        <is>
          <t>Delivered</t>
        </is>
      </c>
    </row>
    <row r="909">
      <c r="A909" s="64" t="n">
        <v>46297</v>
      </c>
      <c r="B909" s="65" t="inlineStr">
        <is>
          <t>INV-0476</t>
        </is>
      </c>
      <c r="C909" s="65" t="inlineStr">
        <is>
          <t>Delhi Hardware Mart</t>
        </is>
      </c>
      <c r="D909" s="65" t="inlineStr">
        <is>
          <t>Cement 50kg</t>
        </is>
      </c>
      <c r="E909" s="66" t="n">
        <v>5</v>
      </c>
      <c r="G909" s="68" t="n">
        <v>0.05</v>
      </c>
      <c r="H909" s="65" t="inlineStr">
        <is>
          <t>Bank</t>
        </is>
      </c>
      <c r="I909" s="65" t="inlineStr">
        <is>
          <t>Delivered</t>
        </is>
      </c>
    </row>
    <row r="910">
      <c r="A910" s="64" t="n">
        <v>46297</v>
      </c>
      <c r="B910" s="65" t="inlineStr">
        <is>
          <t>INV-0476</t>
        </is>
      </c>
      <c r="C910" s="65" t="inlineStr">
        <is>
          <t>Delhi Hardware Mart</t>
        </is>
      </c>
      <c r="D910" s="65" t="inlineStr">
        <is>
          <t>PVC Pipe 1in 6m</t>
        </is>
      </c>
      <c r="E910" s="66" t="n">
        <v>8</v>
      </c>
      <c r="G910" s="68" t="n">
        <v>0.02</v>
      </c>
      <c r="H910" s="65" t="inlineStr">
        <is>
          <t>Bank</t>
        </is>
      </c>
      <c r="I910" s="65" t="inlineStr">
        <is>
          <t>Delivered</t>
        </is>
      </c>
    </row>
    <row r="911">
      <c r="A911" s="64" t="n">
        <v>46297</v>
      </c>
      <c r="B911" s="65" t="inlineStr">
        <is>
          <t>INV-0477</t>
        </is>
      </c>
      <c r="C911" s="65" t="inlineStr">
        <is>
          <t>Sharma Kirana Store</t>
        </is>
      </c>
      <c r="D911" s="65" t="inlineStr">
        <is>
          <t>PVC Pipe 1in 6m</t>
        </is>
      </c>
      <c r="E911" s="66" t="n">
        <v>7</v>
      </c>
      <c r="I911" s="65" t="inlineStr">
        <is>
          <t>Delivered</t>
        </is>
      </c>
    </row>
    <row r="912">
      <c r="A912" s="64" t="n">
        <v>46297</v>
      </c>
      <c r="B912" s="65" t="inlineStr">
        <is>
          <t>INV-0478</t>
        </is>
      </c>
      <c r="C912" s="65" t="inlineStr">
        <is>
          <t>Gupta Electricals</t>
        </is>
      </c>
      <c r="D912" s="65" t="inlineStr">
        <is>
          <t>Copper Wire 90m</t>
        </is>
      </c>
      <c r="E912" s="66" t="n">
        <v>1</v>
      </c>
      <c r="G912" s="68" t="n">
        <v>0.05</v>
      </c>
      <c r="I912" s="65" t="inlineStr">
        <is>
          <t>Delivered</t>
        </is>
      </c>
    </row>
    <row r="913">
      <c r="A913" s="64" t="n">
        <v>46297</v>
      </c>
      <c r="B913" s="65" t="inlineStr">
        <is>
          <t>INV-0478</t>
        </is>
      </c>
      <c r="C913" s="65" t="inlineStr">
        <is>
          <t>Gupta Electricals</t>
        </is>
      </c>
      <c r="D913" s="65" t="inlineStr">
        <is>
          <t>LED Bulb 9W</t>
        </is>
      </c>
      <c r="E913" s="66" t="n">
        <v>19</v>
      </c>
      <c r="I913" s="65" t="inlineStr">
        <is>
          <t>Delivered</t>
        </is>
      </c>
    </row>
    <row r="914">
      <c r="A914" s="64" t="n">
        <v>46298</v>
      </c>
      <c r="B914" s="65" t="inlineStr">
        <is>
          <t>INV-0479</t>
        </is>
      </c>
      <c r="C914" s="65" t="inlineStr">
        <is>
          <t>Walk-in Customer</t>
        </is>
      </c>
      <c r="D914" s="65" t="inlineStr">
        <is>
          <t>Sugar 50kg</t>
        </is>
      </c>
      <c r="E914" s="66" t="n">
        <v>1</v>
      </c>
      <c r="G914" s="68" t="n">
        <v>0.02</v>
      </c>
      <c r="H914" s="65" t="inlineStr">
        <is>
          <t>Cash</t>
        </is>
      </c>
      <c r="I914" s="65" t="inlineStr">
        <is>
          <t>Delivered</t>
        </is>
      </c>
    </row>
    <row r="915">
      <c r="A915" s="64" t="n">
        <v>46298</v>
      </c>
      <c r="B915" s="65" t="inlineStr">
        <is>
          <t>INV-0480</t>
        </is>
      </c>
      <c r="C915" s="65" t="inlineStr">
        <is>
          <t>Gupta Electricals</t>
        </is>
      </c>
      <c r="D915" s="65" t="inlineStr">
        <is>
          <t>PVC Pipe 1in 6m</t>
        </is>
      </c>
      <c r="E915" s="66" t="n">
        <v>6</v>
      </c>
      <c r="H915" s="65" t="inlineStr">
        <is>
          <t>Bank</t>
        </is>
      </c>
      <c r="I915" s="65" t="inlineStr">
        <is>
          <t>Delivered</t>
        </is>
      </c>
    </row>
    <row r="916">
      <c r="A916" s="64" t="n">
        <v>46298</v>
      </c>
      <c r="B916" s="65" t="inlineStr">
        <is>
          <t>INV-0481</t>
        </is>
      </c>
      <c r="C916" s="65" t="inlineStr">
        <is>
          <t>Gupta Electricals</t>
        </is>
      </c>
      <c r="D916" s="65" t="inlineStr">
        <is>
          <t>Sugar 50kg</t>
        </is>
      </c>
      <c r="E916" s="66" t="n">
        <v>1</v>
      </c>
      <c r="I916" s="65" t="inlineStr">
        <is>
          <t>Delivered</t>
        </is>
      </c>
    </row>
    <row r="917">
      <c r="A917" s="64" t="n">
        <v>46300</v>
      </c>
      <c r="B917" s="65" t="inlineStr">
        <is>
          <t>INV-0482</t>
        </is>
      </c>
      <c r="C917" s="65" t="inlineStr">
        <is>
          <t>Mehta Constructions</t>
        </is>
      </c>
      <c r="D917" s="65" t="inlineStr">
        <is>
          <t>Cement 50kg</t>
        </is>
      </c>
      <c r="E917" s="66" t="n">
        <v>10</v>
      </c>
      <c r="I917" s="65" t="inlineStr">
        <is>
          <t>Delivered</t>
        </is>
      </c>
    </row>
    <row r="918">
      <c r="A918" s="64" t="n">
        <v>46300</v>
      </c>
      <c r="B918" s="65" t="inlineStr">
        <is>
          <t>INV-0482</t>
        </is>
      </c>
      <c r="C918" s="65" t="inlineStr">
        <is>
          <t>Mehta Constructions</t>
        </is>
      </c>
      <c r="D918" s="65" t="inlineStr">
        <is>
          <t>Ceiling Fan 1200mm</t>
        </is>
      </c>
      <c r="E918" s="66" t="n">
        <v>1</v>
      </c>
      <c r="I918" s="65" t="inlineStr">
        <is>
          <t>Delivered</t>
        </is>
      </c>
    </row>
    <row r="919">
      <c r="A919" s="64" t="n">
        <v>46300</v>
      </c>
      <c r="B919" s="65" t="inlineStr">
        <is>
          <t>INV-0482</t>
        </is>
      </c>
      <c r="C919" s="65" t="inlineStr">
        <is>
          <t>Mehta Constructions</t>
        </is>
      </c>
      <c r="D919" s="65" t="inlineStr">
        <is>
          <t>Toothpaste 150g x12</t>
        </is>
      </c>
      <c r="E919" s="66" t="n">
        <v>1</v>
      </c>
      <c r="G919" s="68" t="n">
        <v>0.05</v>
      </c>
      <c r="I919" s="65" t="inlineStr">
        <is>
          <t>Delivered</t>
        </is>
      </c>
    </row>
    <row r="920">
      <c r="A920" s="64" t="n">
        <v>46300</v>
      </c>
      <c r="B920" s="65" t="inlineStr">
        <is>
          <t>INV-0483</t>
        </is>
      </c>
      <c r="C920" s="65" t="inlineStr">
        <is>
          <t>Walk-in Customer</t>
        </is>
      </c>
      <c r="D920" s="65" t="inlineStr">
        <is>
          <t>Copper Wire 90m</t>
        </is>
      </c>
      <c r="E920" s="66" t="n">
        <v>1</v>
      </c>
      <c r="H920" s="65" t="inlineStr">
        <is>
          <t>Cash</t>
        </is>
      </c>
      <c r="I920" s="65" t="inlineStr">
        <is>
          <t>Delivered</t>
        </is>
      </c>
    </row>
    <row r="921">
      <c r="A921" s="64" t="n">
        <v>46300</v>
      </c>
      <c r="B921" s="65" t="inlineStr">
        <is>
          <t>INV-0483</t>
        </is>
      </c>
      <c r="C921" s="65" t="inlineStr">
        <is>
          <t>Walk-in Customer</t>
        </is>
      </c>
      <c r="D921" s="65" t="inlineStr">
        <is>
          <t>LED Bulb 9W</t>
        </is>
      </c>
      <c r="E921" s="66" t="n">
        <v>23</v>
      </c>
      <c r="H921" s="65" t="inlineStr">
        <is>
          <t>Cash</t>
        </is>
      </c>
      <c r="I921" s="65" t="inlineStr">
        <is>
          <t>Delivered</t>
        </is>
      </c>
    </row>
    <row r="922">
      <c r="A922" s="64" t="n">
        <v>46300</v>
      </c>
      <c r="B922" s="65" t="inlineStr">
        <is>
          <t>INV-0483</t>
        </is>
      </c>
      <c r="C922" s="65" t="inlineStr">
        <is>
          <t>Walk-in Customer</t>
        </is>
      </c>
      <c r="D922" s="65" t="inlineStr">
        <is>
          <t>Cement 50kg</t>
        </is>
      </c>
      <c r="E922" s="66" t="n">
        <v>11</v>
      </c>
      <c r="H922" s="65" t="inlineStr">
        <is>
          <t>Cash</t>
        </is>
      </c>
      <c r="I922" s="65" t="inlineStr">
        <is>
          <t>Delivered</t>
        </is>
      </c>
    </row>
    <row r="923">
      <c r="A923" s="64" t="n">
        <v>46300</v>
      </c>
      <c r="B923" s="65" t="inlineStr">
        <is>
          <t>INV-0484</t>
        </is>
      </c>
      <c r="C923" s="65" t="inlineStr">
        <is>
          <t>Sharma Kirana Store</t>
        </is>
      </c>
      <c r="D923" s="65" t="inlineStr">
        <is>
          <t>Basmati Rice 25kg</t>
        </is>
      </c>
      <c r="E923" s="66" t="n">
        <v>2</v>
      </c>
      <c r="G923" s="68" t="n">
        <v>0.02</v>
      </c>
      <c r="I923" s="65" t="inlineStr">
        <is>
          <t>Delivered</t>
        </is>
      </c>
    </row>
    <row r="924">
      <c r="A924" s="64" t="n">
        <v>46300</v>
      </c>
      <c r="B924" s="65" t="inlineStr">
        <is>
          <t>INV-0484</t>
        </is>
      </c>
      <c r="C924" s="65" t="inlineStr">
        <is>
          <t>Sharma Kirana Store</t>
        </is>
      </c>
      <c r="D924" s="65" t="inlineStr">
        <is>
          <t>Refined Oil 15L</t>
        </is>
      </c>
      <c r="E924" s="66" t="n">
        <v>1</v>
      </c>
      <c r="I924" s="65" t="inlineStr">
        <is>
          <t>Delivered</t>
        </is>
      </c>
    </row>
    <row r="925">
      <c r="A925" s="64" t="n">
        <v>46300</v>
      </c>
      <c r="B925" s="65" t="inlineStr">
        <is>
          <t>INV-0484</t>
        </is>
      </c>
      <c r="C925" s="65" t="inlineStr">
        <is>
          <t>Sharma Kirana Store</t>
        </is>
      </c>
      <c r="D925" s="65" t="inlineStr">
        <is>
          <t>Cement 50kg</t>
        </is>
      </c>
      <c r="E925" s="66" t="n">
        <v>5</v>
      </c>
      <c r="I925" s="65" t="inlineStr">
        <is>
          <t>Delivered</t>
        </is>
      </c>
    </row>
    <row r="926">
      <c r="A926" s="64" t="n">
        <v>46301</v>
      </c>
      <c r="B926" s="65" t="inlineStr">
        <is>
          <t>INV-0485</t>
        </is>
      </c>
      <c r="C926" s="65" t="inlineStr">
        <is>
          <t>FMCG Distributors</t>
        </is>
      </c>
      <c r="D926" s="65" t="inlineStr">
        <is>
          <t>Refined Oil 15L</t>
        </is>
      </c>
      <c r="E926" s="66" t="n">
        <v>1</v>
      </c>
      <c r="G926" s="68" t="n">
        <v>0.02</v>
      </c>
      <c r="H926" s="65" t="inlineStr">
        <is>
          <t>UPI</t>
        </is>
      </c>
      <c r="I926" s="65" t="inlineStr">
        <is>
          <t>Dispatched</t>
        </is>
      </c>
    </row>
    <row r="927">
      <c r="A927" s="64" t="n">
        <v>46301</v>
      </c>
      <c r="B927" s="65" t="inlineStr">
        <is>
          <t>INV-0486</t>
        </is>
      </c>
      <c r="C927" s="65" t="inlineStr">
        <is>
          <t>FMCG Distributors</t>
        </is>
      </c>
      <c r="D927" s="65" t="inlineStr">
        <is>
          <t>Basmati Rice 25kg</t>
        </is>
      </c>
      <c r="E927" s="66" t="n">
        <v>1</v>
      </c>
      <c r="I927" s="65" t="inlineStr">
        <is>
          <t>Pending</t>
        </is>
      </c>
    </row>
    <row r="928">
      <c r="A928" s="64" t="n">
        <v>46301</v>
      </c>
      <c r="B928" s="65" t="inlineStr">
        <is>
          <t>INV-0486</t>
        </is>
      </c>
      <c r="C928" s="65" t="inlineStr">
        <is>
          <t>FMCG Distributors</t>
        </is>
      </c>
      <c r="D928" s="65" t="inlineStr">
        <is>
          <t>LED Bulb 9W</t>
        </is>
      </c>
      <c r="E928" s="66" t="n">
        <v>15</v>
      </c>
      <c r="I928" s="65" t="inlineStr">
        <is>
          <t>Packed</t>
        </is>
      </c>
    </row>
    <row r="929">
      <c r="A929" s="64" t="n">
        <v>46302</v>
      </c>
      <c r="B929" s="65" t="inlineStr">
        <is>
          <t>INV-0487</t>
        </is>
      </c>
      <c r="C929" s="65" t="inlineStr">
        <is>
          <t>Walk-in Customer</t>
        </is>
      </c>
      <c r="D929" s="65" t="inlineStr">
        <is>
          <t>Sugar 50kg</t>
        </is>
      </c>
      <c r="E929" s="66" t="n">
        <v>1</v>
      </c>
      <c r="H929" s="65" t="inlineStr">
        <is>
          <t>Cash</t>
        </is>
      </c>
      <c r="I929" s="65" t="inlineStr">
        <is>
          <t>Packed</t>
        </is>
      </c>
    </row>
    <row r="930">
      <c r="A930" s="64" t="n">
        <v>46302</v>
      </c>
      <c r="B930" s="65" t="inlineStr">
        <is>
          <t>INV-0487</t>
        </is>
      </c>
      <c r="C930" s="65" t="inlineStr">
        <is>
          <t>Walk-in Customer</t>
        </is>
      </c>
      <c r="D930" s="65" t="inlineStr">
        <is>
          <t>PVC Pipe 1in 6m</t>
        </is>
      </c>
      <c r="E930" s="66" t="n">
        <v>5</v>
      </c>
      <c r="H930" s="65" t="inlineStr">
        <is>
          <t>Cash</t>
        </is>
      </c>
      <c r="I930" s="65" t="inlineStr">
        <is>
          <t>Packed</t>
        </is>
      </c>
    </row>
    <row r="931">
      <c r="A931" s="64" t="n">
        <v>46302</v>
      </c>
      <c r="B931" s="65" t="inlineStr">
        <is>
          <t>INV-0488</t>
        </is>
      </c>
      <c r="C931" s="65" t="inlineStr">
        <is>
          <t>Gupta Electricals</t>
        </is>
      </c>
      <c r="D931" s="65" t="inlineStr">
        <is>
          <t>Copper Wire 90m</t>
        </is>
      </c>
      <c r="E931" s="66" t="n">
        <v>1</v>
      </c>
      <c r="G931" s="68" t="n">
        <v>0.05</v>
      </c>
      <c r="H931" s="65" t="inlineStr">
        <is>
          <t>Bank</t>
        </is>
      </c>
      <c r="I931" s="65" t="inlineStr">
        <is>
          <t>Pending</t>
        </is>
      </c>
    </row>
    <row r="932">
      <c r="A932" s="64" t="n">
        <v>46303</v>
      </c>
      <c r="B932" s="65" t="inlineStr">
        <is>
          <t>INV-0490</t>
        </is>
      </c>
      <c r="C932" s="65" t="inlineStr">
        <is>
          <t>Walk-in Customer</t>
        </is>
      </c>
      <c r="D932" s="65" t="inlineStr">
        <is>
          <t>Detergent 5kg</t>
        </is>
      </c>
      <c r="E932" s="66" t="n">
        <v>2</v>
      </c>
      <c r="G932" s="68" t="n">
        <v>0.02</v>
      </c>
      <c r="H932" s="65" t="inlineStr">
        <is>
          <t>Cash</t>
        </is>
      </c>
      <c r="I932" s="65" t="inlineStr">
        <is>
          <t>Dispatched</t>
        </is>
      </c>
    </row>
    <row r="933">
      <c r="A933" s="64" t="n">
        <v>46303</v>
      </c>
      <c r="B933" s="65" t="inlineStr">
        <is>
          <t>INV-0490</t>
        </is>
      </c>
      <c r="C933" s="65" t="inlineStr">
        <is>
          <t>Walk-in Customer</t>
        </is>
      </c>
      <c r="D933" s="65" t="inlineStr">
        <is>
          <t>Basmati Rice 25kg</t>
        </is>
      </c>
      <c r="E933" s="66" t="n">
        <v>1</v>
      </c>
      <c r="H933" s="65" t="inlineStr">
        <is>
          <t>Cash</t>
        </is>
      </c>
      <c r="I933" s="65" t="inlineStr">
        <is>
          <t>Dispatched</t>
        </is>
      </c>
    </row>
    <row r="934">
      <c r="A934" s="64" t="n">
        <v>46303</v>
      </c>
      <c r="B934" s="65" t="inlineStr">
        <is>
          <t>INV-0491</t>
        </is>
      </c>
      <c r="C934" s="65" t="inlineStr">
        <is>
          <t>Walk-in Customer</t>
        </is>
      </c>
      <c r="D934" s="65" t="inlineStr">
        <is>
          <t>Ceiling Fan 1200mm</t>
        </is>
      </c>
      <c r="E934" s="66" t="n">
        <v>1</v>
      </c>
      <c r="H934" s="65" t="inlineStr">
        <is>
          <t>Cash</t>
        </is>
      </c>
      <c r="I934" s="65" t="inlineStr">
        <is>
          <t>Packed</t>
        </is>
      </c>
    </row>
    <row r="935">
      <c r="A935" s="64" t="n">
        <v>46303</v>
      </c>
      <c r="B935" s="65" t="inlineStr">
        <is>
          <t>INV-0491</t>
        </is>
      </c>
      <c r="C935" s="65" t="inlineStr">
        <is>
          <t>Walk-in Customer</t>
        </is>
      </c>
      <c r="D935" s="65" t="inlineStr">
        <is>
          <t>Detergent 5kg</t>
        </is>
      </c>
      <c r="E935" s="66" t="n">
        <v>1</v>
      </c>
      <c r="H935" s="65" t="inlineStr">
        <is>
          <t>Cash</t>
        </is>
      </c>
      <c r="I935" s="65" t="inlineStr">
        <is>
          <t>Pending</t>
        </is>
      </c>
    </row>
    <row r="936">
      <c r="A936" s="64" t="n">
        <v>46304</v>
      </c>
      <c r="B936" s="65" t="inlineStr">
        <is>
          <t>INV-0492</t>
        </is>
      </c>
      <c r="C936" s="65" t="inlineStr">
        <is>
          <t>Mehta Constructions</t>
        </is>
      </c>
      <c r="D936" s="65" t="inlineStr">
        <is>
          <t>Sugar 50kg</t>
        </is>
      </c>
      <c r="E936" s="66" t="n">
        <v>1</v>
      </c>
      <c r="G936" s="68" t="n">
        <v>0.02</v>
      </c>
      <c r="H936" s="65" t="inlineStr">
        <is>
          <t>Bank</t>
        </is>
      </c>
      <c r="I936" s="65" t="inlineStr">
        <is>
          <t>Packed</t>
        </is>
      </c>
    </row>
    <row r="937">
      <c r="A937" s="64" t="n">
        <v>46304</v>
      </c>
      <c r="B937" s="65" t="inlineStr">
        <is>
          <t>INV-0493</t>
        </is>
      </c>
      <c r="C937" s="65" t="inlineStr">
        <is>
          <t>Gupta Electricals</t>
        </is>
      </c>
      <c r="D937" s="65" t="inlineStr">
        <is>
          <t>PVC Pipe 1in 6m</t>
        </is>
      </c>
      <c r="E937" s="66" t="n">
        <v>2</v>
      </c>
      <c r="I937" s="65" t="inlineStr">
        <is>
          <t>Pending</t>
        </is>
      </c>
    </row>
    <row r="938">
      <c r="A938" s="64" t="n">
        <v>46304</v>
      </c>
      <c r="B938" s="65" t="inlineStr">
        <is>
          <t>INV-0494</t>
        </is>
      </c>
      <c r="C938" s="65" t="inlineStr">
        <is>
          <t>Delhi Hardware Mart</t>
        </is>
      </c>
      <c r="D938" s="65" t="inlineStr">
        <is>
          <t>Ceiling Fan 1200mm</t>
        </is>
      </c>
      <c r="E938" s="66" t="n">
        <v>1</v>
      </c>
      <c r="G938" s="68" t="n">
        <v>0.05</v>
      </c>
      <c r="H938" s="65" t="inlineStr">
        <is>
          <t>Bank</t>
        </is>
      </c>
      <c r="I938" s="65" t="inlineStr">
        <is>
          <t>Dispatched</t>
        </is>
      </c>
    </row>
    <row r="939">
      <c r="A939" s="64" t="n">
        <v>46305</v>
      </c>
      <c r="B939" s="65" t="inlineStr">
        <is>
          <t>INV-0495</t>
        </is>
      </c>
      <c r="C939" s="65" t="inlineStr">
        <is>
          <t>Walk-in Customer</t>
        </is>
      </c>
      <c r="D939" s="65" t="inlineStr">
        <is>
          <t>Sugar 50kg</t>
        </is>
      </c>
      <c r="E939" s="66" t="n">
        <v>1</v>
      </c>
      <c r="G939" s="68" t="n">
        <v>0.02</v>
      </c>
      <c r="H939" s="65" t="inlineStr">
        <is>
          <t>Cash</t>
        </is>
      </c>
      <c r="I939" s="65" t="inlineStr">
        <is>
          <t>Dispatched</t>
        </is>
      </c>
    </row>
    <row r="940">
      <c r="A940" s="64" t="n">
        <v>46305</v>
      </c>
      <c r="B940" s="65" t="inlineStr">
        <is>
          <t>INV-0495</t>
        </is>
      </c>
      <c r="C940" s="65" t="inlineStr">
        <is>
          <t>Walk-in Customer</t>
        </is>
      </c>
      <c r="D940" s="65" t="inlineStr">
        <is>
          <t>Detergent 5kg</t>
        </is>
      </c>
      <c r="E940" s="66" t="n">
        <v>2</v>
      </c>
      <c r="G940" s="68" t="n">
        <v>0.02</v>
      </c>
      <c r="H940" s="65" t="inlineStr">
        <is>
          <t>Cash</t>
        </is>
      </c>
      <c r="I940" s="65" t="inlineStr">
        <is>
          <t>Dispatched</t>
        </is>
      </c>
    </row>
    <row r="941">
      <c r="A941" s="64" t="n">
        <v>46305</v>
      </c>
      <c r="B941" s="65" t="inlineStr">
        <is>
          <t>INV-0496</t>
        </is>
      </c>
      <c r="C941" s="65" t="inlineStr">
        <is>
          <t>Gupta Electricals</t>
        </is>
      </c>
      <c r="D941" s="65" t="inlineStr">
        <is>
          <t>Toothpaste 150g x12</t>
        </is>
      </c>
      <c r="E941" s="66" t="n">
        <v>1</v>
      </c>
      <c r="H941" s="65" t="inlineStr">
        <is>
          <t>UPI</t>
        </is>
      </c>
      <c r="I941" s="65" t="inlineStr">
        <is>
          <t>Pending</t>
        </is>
      </c>
    </row>
    <row r="942">
      <c r="A942" s="64" t="n">
        <v>46305</v>
      </c>
      <c r="B942" s="65" t="inlineStr">
        <is>
          <t>INV-0496</t>
        </is>
      </c>
      <c r="C942" s="65" t="inlineStr">
        <is>
          <t>Gupta Electricals</t>
        </is>
      </c>
      <c r="D942" s="65" t="inlineStr">
        <is>
          <t>Tea Premium 1kg</t>
        </is>
      </c>
      <c r="E942" s="66" t="n">
        <v>4</v>
      </c>
      <c r="H942" s="65" t="inlineStr">
        <is>
          <t>UPI</t>
        </is>
      </c>
      <c r="I942" s="65" t="inlineStr">
        <is>
          <t>Dispatched</t>
        </is>
      </c>
    </row>
    <row r="943">
      <c r="A943" s="64" t="n">
        <v>46305</v>
      </c>
      <c r="B943" s="65" t="inlineStr">
        <is>
          <t>INV-0497</t>
        </is>
      </c>
      <c r="C943" s="65" t="inlineStr">
        <is>
          <t>FMCG Distributors</t>
        </is>
      </c>
      <c r="D943" s="65" t="inlineStr">
        <is>
          <t>Tea Premium 1kg</t>
        </is>
      </c>
      <c r="E943" s="66" t="n">
        <v>1</v>
      </c>
      <c r="I943" s="65" t="inlineStr">
        <is>
          <t>Pending</t>
        </is>
      </c>
    </row>
  </sheetData>
  <autoFilter ref="A4:X20004"/>
  <mergeCells count="2">
    <mergeCell ref="A2:X2"/>
    <mergeCell ref="A1:X1"/>
  </mergeCells>
  <conditionalFormatting sqref="T5:T20004">
    <cfRule type="cellIs" priority="1" operator="equal" dxfId="1">
      <formula>"NEG STOCK"</formula>
    </cfRule>
    <cfRule type="cellIs" priority="2" operator="equal" dxfId="2">
      <formula>"BELOW COST"</formula>
    </cfRule>
    <cfRule type="cellIs" priority="3" operator="equal" dxfId="3">
      <formula>"UNKNOWN ITEM"</formula>
    </cfRule>
  </conditionalFormatting>
  <conditionalFormatting sqref="I5:I20004">
    <cfRule type="cellIs" priority="4" operator="equal" dxfId="2">
      <formula>"Pending"</formula>
    </cfRule>
  </conditionalFormatting>
  <conditionalFormatting sqref="A5:I20004">
    <cfRule type="expression" priority="5" dxfId="5">
      <formula>AND($B5&lt;&gt;"",ISODD(N($W5)))</formula>
    </cfRule>
  </conditionalFormatting>
  <dataValidations count="6">
    <dataValidation sqref="C5:C20004" showDropDown="0" showInputMessage="1" showErrorMessage="1" allowBlank="1" error="Pick a value from the list (add new masters on the master sheet first)." prompt="Pick a party (add new ones on the Parties sheet)" type="list" errorStyle="stop">
      <formula1>L_Parties</formula1>
    </dataValidation>
    <dataValidation sqref="D5:D20004" showDropDown="0" showInputMessage="1" showErrorMessage="1" allowBlank="1" error="Pick a value from the list (add new masters on the master sheet first)." prompt="Pick an item (add new ones on the Items sheet)" type="list" errorStyle="stop">
      <formula1>L_Items</formula1>
    </dataValidation>
    <dataValidation sqref="H5:H20004" showDropDown="0" showInputMessage="0" showErrorMessage="1" allowBlank="1" error="Pick a value from the list (add new masters on the master sheet first)." type="list" errorStyle="stop">
      <formula1>L_PayModes</formula1>
    </dataValidation>
    <dataValidation sqref="E5:E20004" showDropDown="0" showInputMessage="0" showErrorMessage="1" allowBlank="1" error="Quantity must be greater than 0 (use Adjustments for returns/losses)." type="decimal" operator="greaterThan">
      <formula1>0</formula1>
    </dataValidation>
    <dataValidation sqref="A5:A20004" showDropDown="0" showInputMessage="0" showErrorMessage="1" allowBlank="1" error="Enter a valid date, e.g. 15-Apr-2026 or Ctrl+; for today." type="date" operator="greaterThan">
      <formula1>36526</formula1>
    </dataValidation>
    <dataValidation sqref="I5:I20004" showDropDown="0" showInputMessage="0" showErrorMessage="1" allowBlank="1" error="Pick a value from the list (add new masters on the master sheet first)." type="list" errorStyle="stop">
      <formula1>L_DeliveryStatus</formula1>
    </dataValidation>
  </dataValidations>
  <hyperlinks>
    <hyperlink xmlns:r="http://schemas.openxmlformats.org/officeDocument/2006/relationships" ref="Z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A1B9A"/>
    <outlinePr summaryBelow="1" summaryRight="1"/>
    <pageSetUpPr/>
  </sheetPr>
  <dimension ref="A1:U4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style="64" min="1" max="1"/>
    <col width="11" customWidth="1" style="65" min="2" max="2"/>
    <col width="22" customWidth="1" style="65" min="3" max="3"/>
    <col width="24" customWidth="1" style="65" min="4" max="4"/>
    <col width="8" customWidth="1" style="66" min="5" max="5"/>
    <col width="10" customWidth="1" style="67" min="6" max="6"/>
    <col width="7" customWidth="1" style="68" min="7" max="7"/>
    <col width="10" customWidth="1" style="65" min="8" max="8"/>
    <col width="6" customWidth="1" style="69" min="9" max="9"/>
    <col width="10" customWidth="1" style="70" min="10" max="10"/>
    <col width="12" customWidth="1" style="70" min="11" max="11"/>
    <col width="7" customWidth="1" style="71" min="12" max="12"/>
    <col width="10" customWidth="1" style="70" min="13" max="13"/>
    <col width="10" customWidth="1" style="70" min="14" max="14"/>
    <col width="10" customWidth="1" style="70" min="15" max="15"/>
    <col width="12" customWidth="1" style="70" min="16" max="16"/>
    <col hidden="1" width="6" customWidth="1" style="69" min="17" max="17"/>
    <col hidden="1" width="6" customWidth="1" style="69" min="18" max="18"/>
    <col width="11" customWidth="1" style="70" min="19" max="19"/>
  </cols>
  <sheetData>
    <row r="1" ht="28" customHeight="1">
      <c r="A1" s="72" t="inlineStr">
        <is>
          <t>🛒  PURCHASES / GOODS RECEIVED (PROCURE)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U1" s="73" t="inlineStr">
        <is>
          <t>◀ Home</t>
        </is>
      </c>
    </row>
    <row r="2">
      <c r="A2" s="3" t="inlineStr">
        <is>
          <t>One line per item received. Stock, average cost, supplier payable and GST input credit update instantly.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</row>
    <row r="3">
      <c r="A3" s="74" t="inlineStr">
        <is>
          <t>Blue / cream = type here</t>
        </is>
      </c>
      <c r="B3" s="75" t="n"/>
      <c r="C3" s="75" t="n"/>
      <c r="D3" s="75" t="n"/>
      <c r="E3" s="75" t="n"/>
      <c r="F3" s="75" t="n"/>
      <c r="G3" s="75" t="n"/>
      <c r="H3" s="75" t="n"/>
      <c r="I3" s="76" t="inlineStr">
        <is>
          <t>⚙ C engine: {=_xll.ST_PURCHASES(…)} fills I:S</t>
        </is>
      </c>
      <c r="J3" s="75" t="n"/>
      <c r="K3" s="75" t="n"/>
      <c r="L3" s="75" t="n"/>
      <c r="M3" s="75" t="n"/>
      <c r="N3" s="75" t="n"/>
      <c r="O3" s="75" t="n"/>
      <c r="P3" s="75" t="n"/>
      <c r="Q3" s="75" t="n"/>
      <c r="R3" s="75" t="n"/>
      <c r="S3" s="75" t="n"/>
    </row>
    <row r="4" ht="32" customHeight="1">
      <c r="A4" s="77" t="inlineStr">
        <is>
          <t>Date *</t>
        </is>
      </c>
      <c r="B4" s="77" t="inlineStr">
        <is>
          <t>Bill No *</t>
        </is>
      </c>
      <c r="C4" s="77" t="inlineStr">
        <is>
          <t>Supplier *</t>
        </is>
      </c>
      <c r="D4" s="77" t="inlineStr">
        <is>
          <t>Item *</t>
        </is>
      </c>
      <c r="E4" s="77" t="inlineStr">
        <is>
          <t>Qty *</t>
        </is>
      </c>
      <c r="F4" s="77" t="inlineStr">
        <is>
          <t>Rate (₹) blank=std</t>
        </is>
      </c>
      <c r="G4" s="77" t="inlineStr">
        <is>
          <t>Disc %</t>
        </is>
      </c>
      <c r="H4" s="77" t="inlineStr">
        <is>
          <t>Paid Via (blank=Credit)</t>
        </is>
      </c>
      <c r="I4" s="78" t="inlineStr">
        <is>
          <t>Unit</t>
        </is>
      </c>
      <c r="J4" s="78" t="inlineStr">
        <is>
          <t>Rate Used (₹)</t>
        </is>
      </c>
      <c r="K4" s="78" t="inlineStr">
        <is>
          <t>Taxable (₹)</t>
        </is>
      </c>
      <c r="L4" s="78" t="inlineStr">
        <is>
          <t>GST %</t>
        </is>
      </c>
      <c r="M4" s="78" t="inlineStr">
        <is>
          <t>CGST (₹)</t>
        </is>
      </c>
      <c r="N4" s="78" t="inlineStr">
        <is>
          <t>SGST (₹)</t>
        </is>
      </c>
      <c r="O4" s="78" t="inlineStr">
        <is>
          <t>IGST (₹)</t>
        </is>
      </c>
      <c r="P4" s="78" t="inlineStr">
        <is>
          <t>Bill Total (₹)</t>
        </is>
      </c>
      <c r="Q4" s="78" t="inlineStr">
        <is>
          <t>itemRow</t>
        </is>
      </c>
      <c r="R4" s="78" t="inlineStr">
        <is>
          <t>partyRow</t>
        </is>
      </c>
      <c r="S4" s="78" t="inlineStr">
        <is>
          <t>Paid Now (₹)</t>
        </is>
      </c>
    </row>
    <row r="5">
      <c r="A5" s="64" t="n">
        <v>46113</v>
      </c>
      <c r="B5" s="65" t="inlineStr">
        <is>
          <t>B-0001</t>
        </is>
      </c>
      <c r="C5" s="65" t="inlineStr">
        <is>
          <t>Bharat Electric Co</t>
        </is>
      </c>
      <c r="D5" s="65" t="inlineStr">
        <is>
          <t>Copper Wire 90m</t>
        </is>
      </c>
      <c r="E5" s="66" t="n">
        <v>13</v>
      </c>
      <c r="F5" s="67" t="n">
        <v>2517</v>
      </c>
      <c r="I5" s="69">
        <f t="array" ref="I5:S20004">_xll.ST_PURCHASES(IN_Items,IN_Parties,IN_Purchases,IN_Sales,IN_CashBook,IN_Adjust,IN_Settings)</f>
        <v/>
      </c>
    </row>
    <row r="6">
      <c r="A6" s="64" t="n">
        <v>46113</v>
      </c>
      <c r="B6" s="65" t="inlineStr">
        <is>
          <t>B-0001</t>
        </is>
      </c>
      <c r="C6" s="65" t="inlineStr">
        <is>
          <t>Bharat Electric Co</t>
        </is>
      </c>
      <c r="D6" s="65" t="inlineStr">
        <is>
          <t>Ceiling Fan 1200mm</t>
        </is>
      </c>
      <c r="E6" s="66" t="n">
        <v>21</v>
      </c>
      <c r="F6" s="67" t="n">
        <v>1650</v>
      </c>
    </row>
    <row r="7">
      <c r="A7" s="64" t="n">
        <v>46113</v>
      </c>
      <c r="B7" s="65" t="inlineStr">
        <is>
          <t>B-0002</t>
        </is>
      </c>
      <c r="C7" s="65" t="inlineStr">
        <is>
          <t>FMCG Distributors</t>
        </is>
      </c>
      <c r="D7" s="65" t="inlineStr">
        <is>
          <t>Toothpaste 150g x12</t>
        </is>
      </c>
      <c r="E7" s="66" t="n">
        <v>25</v>
      </c>
      <c r="F7" s="67" t="n">
        <v>885</v>
      </c>
    </row>
    <row r="8">
      <c r="A8" s="64" t="n">
        <v>46144</v>
      </c>
      <c r="B8" s="65" t="inlineStr">
        <is>
          <t>B-0003</t>
        </is>
      </c>
      <c r="C8" s="65" t="inlineStr">
        <is>
          <t>Agro Foods Pvt Ltd</t>
        </is>
      </c>
      <c r="D8" s="65" t="inlineStr">
        <is>
          <t>Basmati Rice 25kg</t>
        </is>
      </c>
      <c r="E8" s="66" t="n">
        <v>29</v>
      </c>
      <c r="F8" s="67" t="n">
        <v>1690</v>
      </c>
    </row>
    <row r="9">
      <c r="A9" s="64" t="n">
        <v>46144</v>
      </c>
      <c r="B9" s="65" t="inlineStr">
        <is>
          <t>B-0003</t>
        </is>
      </c>
      <c r="C9" s="65" t="inlineStr">
        <is>
          <t>Agro Foods Pvt Ltd</t>
        </is>
      </c>
      <c r="D9" s="65" t="inlineStr">
        <is>
          <t>Sugar 50kg</t>
        </is>
      </c>
      <c r="E9" s="66" t="n">
        <v>34</v>
      </c>
      <c r="F9" s="67" t="n">
        <v>2086</v>
      </c>
    </row>
    <row r="10">
      <c r="A10" s="64" t="n">
        <v>46144</v>
      </c>
      <c r="B10" s="65" t="inlineStr">
        <is>
          <t>B-0003</t>
        </is>
      </c>
      <c r="C10" s="65" t="inlineStr">
        <is>
          <t>Agro Foods Pvt Ltd</t>
        </is>
      </c>
      <c r="D10" s="65" t="inlineStr">
        <is>
          <t>Refined Oil 15L</t>
        </is>
      </c>
      <c r="E10" s="66" t="n">
        <v>41</v>
      </c>
      <c r="F10" s="67" t="n">
        <v>1881</v>
      </c>
    </row>
    <row r="11">
      <c r="A11" s="64" t="n">
        <v>46144</v>
      </c>
      <c r="B11" s="65" t="inlineStr">
        <is>
          <t>B-0004</t>
        </is>
      </c>
      <c r="C11" s="65" t="inlineStr">
        <is>
          <t>Bharat Electric Co</t>
        </is>
      </c>
      <c r="D11" s="65" t="inlineStr">
        <is>
          <t>LED Bulb 9W</t>
        </is>
      </c>
      <c r="E11" s="66" t="n">
        <v>311</v>
      </c>
      <c r="F11" s="67" t="n">
        <v>63</v>
      </c>
      <c r="H11" s="65" t="inlineStr">
        <is>
          <t>Bank</t>
        </is>
      </c>
    </row>
    <row r="12">
      <c r="A12" s="64" t="n">
        <v>46144</v>
      </c>
      <c r="B12" s="65" t="inlineStr">
        <is>
          <t>B-0004</t>
        </is>
      </c>
      <c r="C12" s="65" t="inlineStr">
        <is>
          <t>Bharat Electric Co</t>
        </is>
      </c>
      <c r="D12" s="65" t="inlineStr">
        <is>
          <t>Copper Wire 90m</t>
        </is>
      </c>
      <c r="E12" s="66" t="n">
        <v>13</v>
      </c>
      <c r="F12" s="67" t="n">
        <v>2427</v>
      </c>
      <c r="H12" s="65" t="inlineStr">
        <is>
          <t>Bank</t>
        </is>
      </c>
    </row>
    <row r="13">
      <c r="A13" s="64" t="n">
        <v>46144</v>
      </c>
      <c r="B13" s="65" t="inlineStr">
        <is>
          <t>B-0004</t>
        </is>
      </c>
      <c r="C13" s="65" t="inlineStr">
        <is>
          <t>Bharat Electric Co</t>
        </is>
      </c>
      <c r="D13" s="65" t="inlineStr">
        <is>
          <t>Ceiling Fan 1200mm</t>
        </is>
      </c>
      <c r="E13" s="66" t="n">
        <v>13</v>
      </c>
      <c r="F13" s="67" t="n">
        <v>1639</v>
      </c>
      <c r="H13" s="65" t="inlineStr">
        <is>
          <t>Bank</t>
        </is>
      </c>
    </row>
    <row r="14">
      <c r="A14" s="64" t="n">
        <v>46144</v>
      </c>
      <c r="B14" s="65" t="inlineStr">
        <is>
          <t>B-0005</t>
        </is>
      </c>
      <c r="C14" s="65" t="inlineStr">
        <is>
          <t>FMCG Distributors</t>
        </is>
      </c>
      <c r="D14" s="65" t="inlineStr">
        <is>
          <t>Tea Premium 1kg</t>
        </is>
      </c>
      <c r="E14" s="66" t="n">
        <v>78</v>
      </c>
      <c r="F14" s="67" t="n">
        <v>382</v>
      </c>
    </row>
    <row r="15">
      <c r="A15" s="64" t="n">
        <v>46144</v>
      </c>
      <c r="B15" s="65" t="inlineStr">
        <is>
          <t>B-0005</t>
        </is>
      </c>
      <c r="C15" s="65" t="inlineStr">
        <is>
          <t>FMCG Distributors</t>
        </is>
      </c>
      <c r="D15" s="65" t="inlineStr">
        <is>
          <t>Detergent 5kg</t>
        </is>
      </c>
      <c r="E15" s="66" t="n">
        <v>47</v>
      </c>
      <c r="F15" s="67" t="n">
        <v>525</v>
      </c>
    </row>
    <row r="16">
      <c r="A16" s="64" t="n">
        <v>46144</v>
      </c>
      <c r="B16" s="65" t="inlineStr">
        <is>
          <t>B-0006</t>
        </is>
      </c>
      <c r="C16" s="65" t="inlineStr">
        <is>
          <t>National Hardware Supply</t>
        </is>
      </c>
      <c r="D16" s="65" t="inlineStr">
        <is>
          <t>PVC Pipe 1in 6m</t>
        </is>
      </c>
      <c r="E16" s="66" t="n">
        <v>152</v>
      </c>
      <c r="F16" s="67" t="n">
        <v>207</v>
      </c>
    </row>
    <row r="17">
      <c r="A17" s="64" t="n">
        <v>46144</v>
      </c>
      <c r="B17" s="65" t="inlineStr">
        <is>
          <t>B-0006</t>
        </is>
      </c>
      <c r="C17" s="65" t="inlineStr">
        <is>
          <t>National Hardware Supply</t>
        </is>
      </c>
      <c r="D17" s="65" t="inlineStr">
        <is>
          <t>Cement 50kg</t>
        </is>
      </c>
      <c r="E17" s="66" t="n">
        <v>111</v>
      </c>
      <c r="F17" s="67" t="n">
        <v>342</v>
      </c>
    </row>
    <row r="18">
      <c r="A18" s="64" t="n">
        <v>46175</v>
      </c>
      <c r="B18" s="65" t="inlineStr">
        <is>
          <t>B-0007</t>
        </is>
      </c>
      <c r="C18" s="65" t="inlineStr">
        <is>
          <t>Bharat Electric Co</t>
        </is>
      </c>
      <c r="D18" s="65" t="inlineStr">
        <is>
          <t>LED Bulb 9W</t>
        </is>
      </c>
      <c r="E18" s="66" t="n">
        <v>204</v>
      </c>
      <c r="F18" s="67" t="n">
        <v>64</v>
      </c>
    </row>
    <row r="19">
      <c r="A19" s="64" t="n">
        <v>46175</v>
      </c>
      <c r="B19" s="65" t="inlineStr">
        <is>
          <t>B-0007</t>
        </is>
      </c>
      <c r="C19" s="65" t="inlineStr">
        <is>
          <t>Bharat Electric Co</t>
        </is>
      </c>
      <c r="D19" s="65" t="inlineStr">
        <is>
          <t>Copper Wire 90m</t>
        </is>
      </c>
      <c r="E19" s="66" t="n">
        <v>17</v>
      </c>
      <c r="F19" s="67" t="n">
        <v>2490</v>
      </c>
    </row>
    <row r="20">
      <c r="A20" s="64" t="n">
        <v>46175</v>
      </c>
      <c r="B20" s="65" t="inlineStr">
        <is>
          <t>B-0007</t>
        </is>
      </c>
      <c r="C20" s="65" t="inlineStr">
        <is>
          <t>Bharat Electric Co</t>
        </is>
      </c>
      <c r="D20" s="65" t="inlineStr">
        <is>
          <t>Ceiling Fan 1200mm</t>
        </is>
      </c>
      <c r="E20" s="66" t="n">
        <v>12</v>
      </c>
      <c r="F20" s="67" t="n">
        <v>1625</v>
      </c>
    </row>
    <row r="21">
      <c r="A21" s="64" t="n">
        <v>46175</v>
      </c>
      <c r="B21" s="65" t="inlineStr">
        <is>
          <t>B-0008</t>
        </is>
      </c>
      <c r="C21" s="65" t="inlineStr">
        <is>
          <t>FMCG Distributors</t>
        </is>
      </c>
      <c r="D21" s="65" t="inlineStr">
        <is>
          <t>Detergent 5kg</t>
        </is>
      </c>
      <c r="E21" s="66" t="n">
        <v>31</v>
      </c>
      <c r="F21" s="67" t="n">
        <v>515</v>
      </c>
    </row>
    <row r="22">
      <c r="A22" s="64" t="n">
        <v>46175</v>
      </c>
      <c r="B22" s="65" t="inlineStr">
        <is>
          <t>B-0008</t>
        </is>
      </c>
      <c r="C22" s="65" t="inlineStr">
        <is>
          <t>FMCG Distributors</t>
        </is>
      </c>
      <c r="D22" s="65" t="inlineStr">
        <is>
          <t>Toothpaste 150g x12</t>
        </is>
      </c>
      <c r="E22" s="66" t="n">
        <v>30</v>
      </c>
      <c r="F22" s="67" t="n">
        <v>889</v>
      </c>
    </row>
    <row r="23">
      <c r="A23" s="64" t="n">
        <v>46205</v>
      </c>
      <c r="B23" s="65" t="inlineStr">
        <is>
          <t>B-0009</t>
        </is>
      </c>
      <c r="C23" s="65" t="inlineStr">
        <is>
          <t>Agro Foods Pvt Ltd</t>
        </is>
      </c>
      <c r="D23" s="65" t="inlineStr">
        <is>
          <t>Basmati Rice 25kg</t>
        </is>
      </c>
      <c r="E23" s="66" t="n">
        <v>39</v>
      </c>
      <c r="F23" s="67" t="n">
        <v>1687</v>
      </c>
      <c r="H23" s="65" t="inlineStr">
        <is>
          <t>Bank</t>
        </is>
      </c>
    </row>
    <row r="24">
      <c r="A24" s="64" t="n">
        <v>46205</v>
      </c>
      <c r="B24" s="65" t="inlineStr">
        <is>
          <t>B-0009</t>
        </is>
      </c>
      <c r="C24" s="65" t="inlineStr">
        <is>
          <t>Agro Foods Pvt Ltd</t>
        </is>
      </c>
      <c r="D24" s="65" t="inlineStr">
        <is>
          <t>Sugar 50kg</t>
        </is>
      </c>
      <c r="E24" s="66" t="n">
        <v>25</v>
      </c>
      <c r="F24" s="67" t="n">
        <v>2067</v>
      </c>
      <c r="H24" s="65" t="inlineStr">
        <is>
          <t>Bank</t>
        </is>
      </c>
    </row>
    <row r="25">
      <c r="A25" s="64" t="n">
        <v>46205</v>
      </c>
      <c r="B25" s="65" t="inlineStr">
        <is>
          <t>B-0009</t>
        </is>
      </c>
      <c r="C25" s="65" t="inlineStr">
        <is>
          <t>Agro Foods Pvt Ltd</t>
        </is>
      </c>
      <c r="D25" s="65" t="inlineStr">
        <is>
          <t>Refined Oil 15L</t>
        </is>
      </c>
      <c r="E25" s="66" t="n">
        <v>27</v>
      </c>
      <c r="F25" s="67" t="n">
        <v>1935</v>
      </c>
      <c r="H25" s="65" t="inlineStr">
        <is>
          <t>Bank</t>
        </is>
      </c>
    </row>
    <row r="26">
      <c r="A26" s="64" t="n">
        <v>46205</v>
      </c>
      <c r="B26" s="65" t="inlineStr">
        <is>
          <t>B-0010</t>
        </is>
      </c>
      <c r="C26" s="65" t="inlineStr">
        <is>
          <t>Bharat Electric Co</t>
        </is>
      </c>
      <c r="D26" s="65" t="inlineStr">
        <is>
          <t>Copper Wire 90m</t>
        </is>
      </c>
      <c r="E26" s="66" t="n">
        <v>12</v>
      </c>
      <c r="F26" s="67" t="n">
        <v>2501</v>
      </c>
    </row>
    <row r="27">
      <c r="A27" s="64" t="n">
        <v>46205</v>
      </c>
      <c r="B27" s="65" t="inlineStr">
        <is>
          <t>B-0010</t>
        </is>
      </c>
      <c r="C27" s="65" t="inlineStr">
        <is>
          <t>Bharat Electric Co</t>
        </is>
      </c>
      <c r="D27" s="65" t="inlineStr">
        <is>
          <t>Ceiling Fan 1200mm</t>
        </is>
      </c>
      <c r="E27" s="66" t="n">
        <v>16</v>
      </c>
      <c r="F27" s="67" t="n">
        <v>1687</v>
      </c>
    </row>
    <row r="28">
      <c r="A28" s="64" t="n">
        <v>46205</v>
      </c>
      <c r="B28" s="65" t="inlineStr">
        <is>
          <t>B-0011</t>
        </is>
      </c>
      <c r="C28" s="65" t="inlineStr">
        <is>
          <t>FMCG Distributors</t>
        </is>
      </c>
      <c r="D28" s="65" t="inlineStr">
        <is>
          <t>Tea Premium 1kg</t>
        </is>
      </c>
      <c r="E28" s="66" t="n">
        <v>56</v>
      </c>
      <c r="F28" s="67" t="n">
        <v>379</v>
      </c>
    </row>
    <row r="29">
      <c r="A29" s="64" t="n">
        <v>46205</v>
      </c>
      <c r="B29" s="65" t="inlineStr">
        <is>
          <t>B-0011</t>
        </is>
      </c>
      <c r="C29" s="65" t="inlineStr">
        <is>
          <t>FMCG Distributors</t>
        </is>
      </c>
      <c r="D29" s="65" t="inlineStr">
        <is>
          <t>Detergent 5kg</t>
        </is>
      </c>
      <c r="E29" s="66" t="n">
        <v>34</v>
      </c>
      <c r="F29" s="67" t="n">
        <v>513</v>
      </c>
    </row>
    <row r="30">
      <c r="A30" s="64" t="n">
        <v>46205</v>
      </c>
      <c r="B30" s="65" t="inlineStr">
        <is>
          <t>B-0012</t>
        </is>
      </c>
      <c r="C30" s="65" t="inlineStr">
        <is>
          <t>National Hardware Supply</t>
        </is>
      </c>
      <c r="D30" s="65" t="inlineStr">
        <is>
          <t>PVC Pipe 1in 6m</t>
        </is>
      </c>
      <c r="E30" s="66" t="n">
        <v>142</v>
      </c>
      <c r="F30" s="67" t="n">
        <v>208</v>
      </c>
    </row>
    <row r="31">
      <c r="A31" s="64" t="n">
        <v>46205</v>
      </c>
      <c r="B31" s="65" t="inlineStr">
        <is>
          <t>B-0012</t>
        </is>
      </c>
      <c r="C31" s="65" t="inlineStr">
        <is>
          <t>National Hardware Supply</t>
        </is>
      </c>
      <c r="D31" s="65" t="inlineStr">
        <is>
          <t>Cement 50kg</t>
        </is>
      </c>
      <c r="E31" s="66" t="n">
        <v>216</v>
      </c>
      <c r="F31" s="67" t="n">
        <v>340</v>
      </c>
    </row>
    <row r="32">
      <c r="A32" s="64" t="n">
        <v>46236</v>
      </c>
      <c r="B32" s="65" t="inlineStr">
        <is>
          <t>B-0013</t>
        </is>
      </c>
      <c r="C32" s="65" t="inlineStr">
        <is>
          <t>Agro Foods Pvt Ltd</t>
        </is>
      </c>
      <c r="D32" s="65" t="inlineStr">
        <is>
          <t>Basmati Rice 25kg</t>
        </is>
      </c>
      <c r="E32" s="66" t="n">
        <v>25</v>
      </c>
      <c r="F32" s="67" t="n">
        <v>1646</v>
      </c>
    </row>
    <row r="33">
      <c r="A33" s="64" t="n">
        <v>46236</v>
      </c>
      <c r="B33" s="65" t="inlineStr">
        <is>
          <t>B-0014</t>
        </is>
      </c>
      <c r="C33" s="65" t="inlineStr">
        <is>
          <t>Bharat Electric Co</t>
        </is>
      </c>
      <c r="D33" s="65" t="inlineStr">
        <is>
          <t>LED Bulb 9W</t>
        </is>
      </c>
      <c r="E33" s="66" t="n">
        <v>392</v>
      </c>
      <c r="F33" s="67" t="n">
        <v>61</v>
      </c>
      <c r="H33" s="65" t="inlineStr">
        <is>
          <t>Bank</t>
        </is>
      </c>
    </row>
    <row r="34">
      <c r="A34" s="64" t="n">
        <v>46236</v>
      </c>
      <c r="B34" s="65" t="inlineStr">
        <is>
          <t>B-0014</t>
        </is>
      </c>
      <c r="C34" s="65" t="inlineStr">
        <is>
          <t>Bharat Electric Co</t>
        </is>
      </c>
      <c r="D34" s="65" t="inlineStr">
        <is>
          <t>Copper Wire 90m</t>
        </is>
      </c>
      <c r="E34" s="66" t="n">
        <v>13</v>
      </c>
      <c r="F34" s="67" t="n">
        <v>2522</v>
      </c>
      <c r="H34" s="65" t="inlineStr">
        <is>
          <t>Bank</t>
        </is>
      </c>
    </row>
    <row r="35">
      <c r="A35" s="64" t="n">
        <v>46236</v>
      </c>
      <c r="B35" s="65" t="inlineStr">
        <is>
          <t>B-0014</t>
        </is>
      </c>
      <c r="C35" s="65" t="inlineStr">
        <is>
          <t>Bharat Electric Co</t>
        </is>
      </c>
      <c r="D35" s="65" t="inlineStr">
        <is>
          <t>Ceiling Fan 1200mm</t>
        </is>
      </c>
      <c r="E35" s="66" t="n">
        <v>16</v>
      </c>
      <c r="F35" s="67" t="n">
        <v>1653</v>
      </c>
      <c r="H35" s="65" t="inlineStr">
        <is>
          <t>Bank</t>
        </is>
      </c>
    </row>
    <row r="36">
      <c r="A36" s="64" t="n">
        <v>46236</v>
      </c>
      <c r="B36" s="65" t="inlineStr">
        <is>
          <t>B-0015</t>
        </is>
      </c>
      <c r="C36" s="65" t="inlineStr">
        <is>
          <t>FMCG Distributors</t>
        </is>
      </c>
      <c r="D36" s="65" t="inlineStr">
        <is>
          <t>Toothpaste 150g x12</t>
        </is>
      </c>
      <c r="E36" s="66" t="n">
        <v>37</v>
      </c>
      <c r="F36" s="67" t="n">
        <v>904</v>
      </c>
    </row>
    <row r="37">
      <c r="A37" s="64" t="n">
        <v>46236</v>
      </c>
      <c r="B37" s="65" t="inlineStr">
        <is>
          <t>B-0016</t>
        </is>
      </c>
      <c r="C37" s="65" t="inlineStr">
        <is>
          <t>National Hardware Supply</t>
        </is>
      </c>
      <c r="D37" s="65" t="inlineStr">
        <is>
          <t>PVC Pipe 1in 6m</t>
        </is>
      </c>
      <c r="E37" s="66" t="n">
        <v>100</v>
      </c>
      <c r="F37" s="67" t="n">
        <v>214</v>
      </c>
    </row>
    <row r="38">
      <c r="A38" s="64" t="n">
        <v>46267</v>
      </c>
      <c r="B38" s="65" t="inlineStr">
        <is>
          <t>B-0017</t>
        </is>
      </c>
      <c r="C38" s="65" t="inlineStr">
        <is>
          <t>Agro Foods Pvt Ltd</t>
        </is>
      </c>
      <c r="D38" s="65" t="inlineStr">
        <is>
          <t>Sugar 50kg</t>
        </is>
      </c>
      <c r="E38" s="66" t="n">
        <v>26</v>
      </c>
      <c r="F38" s="67" t="n">
        <v>2081</v>
      </c>
    </row>
    <row r="39">
      <c r="A39" s="64" t="n">
        <v>46267</v>
      </c>
      <c r="B39" s="65" t="inlineStr">
        <is>
          <t>B-0017</t>
        </is>
      </c>
      <c r="C39" s="65" t="inlineStr">
        <is>
          <t>Agro Foods Pvt Ltd</t>
        </is>
      </c>
      <c r="D39" s="65" t="inlineStr">
        <is>
          <t>Refined Oil 15L</t>
        </is>
      </c>
      <c r="E39" s="66" t="n">
        <v>29</v>
      </c>
      <c r="F39" s="67" t="n">
        <v>1910</v>
      </c>
    </row>
    <row r="40">
      <c r="A40" s="64" t="n">
        <v>46267</v>
      </c>
      <c r="B40" s="65" t="inlineStr">
        <is>
          <t>B-0018</t>
        </is>
      </c>
      <c r="C40" s="65" t="inlineStr">
        <is>
          <t>Bharat Electric Co</t>
        </is>
      </c>
      <c r="D40" s="65" t="inlineStr">
        <is>
          <t>LED Bulb 9W</t>
        </is>
      </c>
      <c r="E40" s="66" t="n">
        <v>253</v>
      </c>
      <c r="F40" s="67" t="n">
        <v>64</v>
      </c>
    </row>
    <row r="41">
      <c r="A41" s="64" t="n">
        <v>46267</v>
      </c>
      <c r="B41" s="65" t="inlineStr">
        <is>
          <t>B-0018</t>
        </is>
      </c>
      <c r="C41" s="65" t="inlineStr">
        <is>
          <t>Bharat Electric Co</t>
        </is>
      </c>
      <c r="D41" s="65" t="inlineStr">
        <is>
          <t>Copper Wire 90m</t>
        </is>
      </c>
      <c r="E41" s="66" t="n">
        <v>17</v>
      </c>
      <c r="F41" s="67" t="n">
        <v>2441</v>
      </c>
    </row>
    <row r="42">
      <c r="A42" s="64" t="n">
        <v>46267</v>
      </c>
      <c r="B42" s="65" t="inlineStr">
        <is>
          <t>B-0018</t>
        </is>
      </c>
      <c r="C42" s="65" t="inlineStr">
        <is>
          <t>Bharat Electric Co</t>
        </is>
      </c>
      <c r="D42" s="65" t="inlineStr">
        <is>
          <t>Ceiling Fan 1200mm</t>
        </is>
      </c>
      <c r="E42" s="66" t="n">
        <v>14</v>
      </c>
      <c r="F42" s="67" t="n">
        <v>1686</v>
      </c>
    </row>
    <row r="43">
      <c r="A43" s="64" t="n">
        <v>46267</v>
      </c>
      <c r="B43" s="65" t="inlineStr">
        <is>
          <t>B-0019</t>
        </is>
      </c>
      <c r="C43" s="65" t="inlineStr">
        <is>
          <t>FMCG Distributors</t>
        </is>
      </c>
      <c r="D43" s="65" t="inlineStr">
        <is>
          <t>Tea Premium 1kg</t>
        </is>
      </c>
      <c r="E43" s="66" t="n">
        <v>57</v>
      </c>
      <c r="F43" s="67" t="n">
        <v>390</v>
      </c>
    </row>
    <row r="44">
      <c r="A44" s="64" t="n">
        <v>46267</v>
      </c>
      <c r="B44" s="65" t="inlineStr">
        <is>
          <t>B-0019</t>
        </is>
      </c>
      <c r="C44" s="65" t="inlineStr">
        <is>
          <t>FMCG Distributors</t>
        </is>
      </c>
      <c r="D44" s="65" t="inlineStr">
        <is>
          <t>Detergent 5kg</t>
        </is>
      </c>
      <c r="E44" s="66" t="n">
        <v>39</v>
      </c>
      <c r="F44" s="67" t="n">
        <v>527</v>
      </c>
    </row>
    <row r="45">
      <c r="A45" s="64" t="n">
        <v>46267</v>
      </c>
      <c r="B45" s="65" t="inlineStr">
        <is>
          <t>B-0020</t>
        </is>
      </c>
      <c r="C45" s="65" t="inlineStr">
        <is>
          <t>National Hardware Supply</t>
        </is>
      </c>
      <c r="D45" s="65" t="inlineStr">
        <is>
          <t>Cement 50kg</t>
        </is>
      </c>
      <c r="E45" s="66" t="n">
        <v>146</v>
      </c>
      <c r="F45" s="67" t="n">
        <v>340</v>
      </c>
    </row>
    <row r="46">
      <c r="A46" s="64" t="n">
        <v>46297</v>
      </c>
      <c r="B46" s="65" t="inlineStr">
        <is>
          <t>B-0021</t>
        </is>
      </c>
      <c r="C46" s="65" t="inlineStr">
        <is>
          <t>Agro Foods Pvt Ltd</t>
        </is>
      </c>
      <c r="D46" s="65" t="inlineStr">
        <is>
          <t>Basmati Rice 25kg</t>
        </is>
      </c>
      <c r="E46" s="66" t="n">
        <v>29</v>
      </c>
      <c r="F46" s="67" t="n">
        <v>1688</v>
      </c>
    </row>
    <row r="47">
      <c r="A47" s="64" t="n">
        <v>46297</v>
      </c>
      <c r="B47" s="65" t="inlineStr">
        <is>
          <t>B-0022</t>
        </is>
      </c>
      <c r="C47" s="65" t="inlineStr">
        <is>
          <t>Bharat Electric Co</t>
        </is>
      </c>
      <c r="D47" s="65" t="inlineStr">
        <is>
          <t>Copper Wire 90m</t>
        </is>
      </c>
      <c r="E47" s="66" t="n">
        <v>11</v>
      </c>
      <c r="F47" s="67" t="n">
        <v>2450</v>
      </c>
    </row>
    <row r="48">
      <c r="A48" s="64" t="n">
        <v>46297</v>
      </c>
      <c r="B48" s="65" t="inlineStr">
        <is>
          <t>B-0023</t>
        </is>
      </c>
      <c r="C48" s="65" t="inlineStr">
        <is>
          <t>FMCG Distributors</t>
        </is>
      </c>
      <c r="D48" s="65" t="inlineStr">
        <is>
          <t>Toothpaste 150g x12</t>
        </is>
      </c>
      <c r="E48" s="66" t="n">
        <v>32</v>
      </c>
      <c r="F48" s="67" t="n">
        <v>914</v>
      </c>
    </row>
    <row r="49">
      <c r="A49" s="64" t="n">
        <v>46297</v>
      </c>
      <c r="B49" s="65" t="inlineStr">
        <is>
          <t>B-0024</t>
        </is>
      </c>
      <c r="C49" s="65" t="inlineStr">
        <is>
          <t>National Hardware Supply</t>
        </is>
      </c>
      <c r="D49" s="65" t="inlineStr">
        <is>
          <t>PVC Pipe 1in 6m</t>
        </is>
      </c>
      <c r="E49" s="66" t="n">
        <v>114</v>
      </c>
      <c r="F49" s="67" t="n">
        <v>213</v>
      </c>
      <c r="H49" s="65" t="inlineStr">
        <is>
          <t>Bank</t>
        </is>
      </c>
    </row>
  </sheetData>
  <autoFilter ref="A4:S20004"/>
  <mergeCells count="2">
    <mergeCell ref="A2:S2"/>
    <mergeCell ref="A1:S1"/>
  </mergeCells>
  <dataValidations count="5">
    <dataValidation sqref="C5:C20004" showDropDown="0" showInputMessage="1" showErrorMessage="1" allowBlank="1" error="Pick a value from the list (add new masters on the master sheet first)." prompt="Pick a party (add new ones on the Parties sheet)" type="list" errorStyle="stop">
      <formula1>L_Parties</formula1>
    </dataValidation>
    <dataValidation sqref="D5:D20004" showDropDown="0" showInputMessage="1" showErrorMessage="1" allowBlank="1" error="Pick a value from the list (add new masters on the master sheet first)." prompt="Pick an item (add new ones on the Items sheet)" type="list" errorStyle="stop">
      <formula1>L_Items</formula1>
    </dataValidation>
    <dataValidation sqref="H5:H20004" showDropDown="0" showInputMessage="0" showErrorMessage="1" allowBlank="1" error="Pick a value from the list (add new masters on the master sheet first)." type="list" errorStyle="stop">
      <formula1>L_PayModes</formula1>
    </dataValidation>
    <dataValidation sqref="E5:E20004" showDropDown="0" showInputMessage="0" showErrorMessage="1" allowBlank="1" error="Quantity must be greater than 0 (use Adjustments for returns/losses)." type="decimal" operator="greaterThan">
      <formula1>0</formula1>
    </dataValidation>
    <dataValidation sqref="A5:A20004" showDropDown="0" showInputMessage="0" showErrorMessage="1" allowBlank="1" error="Enter a valid date, e.g. 15-Apr-2026 or Ctrl+; for today." type="date" operator="greaterThan">
      <formula1>36526</formula1>
    </dataValidation>
  </dataValidations>
  <hyperlinks>
    <hyperlink xmlns:r="http://schemas.openxmlformats.org/officeDocument/2006/relationships" ref="U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D32"/>
    <outlinePr summaryBelow="1" summaryRight="1"/>
    <pageSetUpPr/>
  </sheetPr>
  <dimension ref="A1:M18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style="64" min="1" max="1"/>
    <col width="10" customWidth="1" style="65" min="2" max="2"/>
    <col width="13" customWidth="1" style="65" min="3" max="3"/>
    <col width="22" customWidth="1" style="65" min="4" max="4"/>
    <col width="18" customWidth="1" style="65" min="5" max="5"/>
    <col width="9" customWidth="1" style="65" min="6" max="6"/>
    <col width="12" customWidth="1" style="67" min="7" max="7"/>
    <col width="26" customWidth="1" style="65" min="8" max="8"/>
    <col width="12" customWidth="1" style="70" min="9" max="9"/>
    <col width="12" customWidth="1" style="70" min="10" max="10"/>
    <col width="18" customWidth="1" style="69" min="11" max="11"/>
  </cols>
  <sheetData>
    <row r="1" ht="28" customHeight="1">
      <c r="A1" s="72" t="inlineStr">
        <is>
          <t>💰  CASH &amp; BANK BOOK (FINANCE)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M1" s="73" t="inlineStr">
        <is>
          <t>◀ Home</t>
        </is>
      </c>
    </row>
    <row r="2">
      <c r="A2" s="3" t="inlineStr">
        <is>
          <t>Customer receipts, supplier payments, expenses, owner capital/drawings and transfers between accounts.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s="74" t="inlineStr">
        <is>
          <t>Blue / cream = type here</t>
        </is>
      </c>
      <c r="B3" s="75" t="n"/>
      <c r="C3" s="75" t="n"/>
      <c r="D3" s="75" t="n"/>
      <c r="E3" s="75" t="n"/>
      <c r="F3" s="75" t="n"/>
      <c r="G3" s="75" t="n"/>
      <c r="H3" s="75" t="n"/>
      <c r="I3" s="76" t="inlineStr">
        <is>
          <t>⚙ C engine: {=_xll.ST_CASHBOOK(…)} fills I:K</t>
        </is>
      </c>
      <c r="J3" s="75" t="n"/>
      <c r="K3" s="75" t="n"/>
    </row>
    <row r="4" ht="32" customHeight="1">
      <c r="A4" s="77" t="inlineStr">
        <is>
          <t>Date *</t>
        </is>
      </c>
      <c r="B4" s="77" t="inlineStr">
        <is>
          <t>Voucher No</t>
        </is>
      </c>
      <c r="C4" s="77" t="inlineStr">
        <is>
          <t>Type *</t>
        </is>
      </c>
      <c r="D4" s="77" t="inlineStr">
        <is>
          <t>Party (Receipt/Payment)</t>
        </is>
      </c>
      <c r="E4" s="77" t="inlineStr">
        <is>
          <t>Expense / Income Head</t>
        </is>
      </c>
      <c r="F4" s="77" t="inlineStr">
        <is>
          <t>Account *</t>
        </is>
      </c>
      <c r="G4" s="77" t="inlineStr">
        <is>
          <t>Amount (₹) *</t>
        </is>
      </c>
      <c r="H4" s="77" t="inlineStr">
        <is>
          <t>Reference / Notes</t>
        </is>
      </c>
      <c r="I4" s="78" t="inlineStr">
        <is>
          <t>Money In (₹)</t>
        </is>
      </c>
      <c r="J4" s="78" t="inlineStr">
        <is>
          <t>Money Out (₹)</t>
        </is>
      </c>
      <c r="K4" s="78" t="inlineStr">
        <is>
          <t>Check</t>
        </is>
      </c>
    </row>
    <row r="5">
      <c r="A5" s="64" t="n">
        <v>46117</v>
      </c>
      <c r="B5" s="65" t="inlineStr">
        <is>
          <t>V-0001</t>
        </is>
      </c>
      <c r="C5" s="65" t="inlineStr">
        <is>
          <t>Expense</t>
        </is>
      </c>
      <c r="E5" s="65" t="inlineStr">
        <is>
          <t>Rent</t>
        </is>
      </c>
      <c r="F5" s="65" t="inlineStr">
        <is>
          <t>Bank</t>
        </is>
      </c>
      <c r="G5" s="67" t="n">
        <v>18000</v>
      </c>
      <c r="I5" s="70">
        <f t="array" ref="I5:K20004">_xll.ST_CASHBOOK(IN_Items,IN_Parties,IN_Purchases,IN_Sales,IN_CashBook,IN_Adjust,IN_Settings)</f>
        <v/>
      </c>
    </row>
    <row r="6">
      <c r="A6" s="64" t="n">
        <v>46117</v>
      </c>
      <c r="B6" s="65" t="inlineStr">
        <is>
          <t>V-0002</t>
        </is>
      </c>
      <c r="C6" s="65" t="inlineStr">
        <is>
          <t>Expense</t>
        </is>
      </c>
      <c r="E6" s="65" t="inlineStr">
        <is>
          <t>Salary</t>
        </is>
      </c>
      <c r="F6" s="65" t="inlineStr">
        <is>
          <t>Bank</t>
        </is>
      </c>
      <c r="G6" s="67" t="n">
        <v>26000</v>
      </c>
    </row>
    <row r="7">
      <c r="A7" s="64" t="n">
        <v>46117</v>
      </c>
      <c r="B7" s="65" t="inlineStr">
        <is>
          <t>V-0003</t>
        </is>
      </c>
      <c r="C7" s="65" t="inlineStr">
        <is>
          <t>Expense</t>
        </is>
      </c>
      <c r="E7" s="65" t="inlineStr">
        <is>
          <t>Electricity</t>
        </is>
      </c>
      <c r="F7" s="65" t="inlineStr">
        <is>
          <t>UPI</t>
        </is>
      </c>
      <c r="G7" s="67" t="n">
        <v>4417</v>
      </c>
    </row>
    <row r="8">
      <c r="A8" s="64" t="n">
        <v>46117</v>
      </c>
      <c r="B8" s="65" t="inlineStr">
        <is>
          <t>V-0004</t>
        </is>
      </c>
      <c r="C8" s="65" t="inlineStr">
        <is>
          <t>Expense</t>
        </is>
      </c>
      <c r="E8" s="65" t="inlineStr">
        <is>
          <t>Transport / Freight</t>
        </is>
      </c>
      <c r="F8" s="65" t="inlineStr">
        <is>
          <t>Cash</t>
        </is>
      </c>
      <c r="G8" s="67" t="n">
        <v>8568</v>
      </c>
    </row>
    <row r="9">
      <c r="A9" s="64" t="n">
        <v>46117</v>
      </c>
      <c r="B9" s="65" t="inlineStr">
        <is>
          <t>V-0005</t>
        </is>
      </c>
      <c r="C9" s="65" t="inlineStr">
        <is>
          <t>Expense</t>
        </is>
      </c>
      <c r="E9" s="65" t="inlineStr">
        <is>
          <t>Telephone / Internet</t>
        </is>
      </c>
      <c r="F9" s="65" t="inlineStr">
        <is>
          <t>UPI</t>
        </is>
      </c>
      <c r="G9" s="67" t="n">
        <v>1199</v>
      </c>
    </row>
    <row r="10">
      <c r="A10" s="64" t="n">
        <v>46122</v>
      </c>
      <c r="B10" s="65" t="inlineStr">
        <is>
          <t>V-0006</t>
        </is>
      </c>
      <c r="C10" s="65" t="inlineStr">
        <is>
          <t>Receipt</t>
        </is>
      </c>
      <c r="D10" s="65" t="inlineStr">
        <is>
          <t>Sharma Kirana Store</t>
        </is>
      </c>
      <c r="F10" s="65" t="inlineStr">
        <is>
          <t>Bank</t>
        </is>
      </c>
      <c r="G10" s="67" t="n">
        <v>16500</v>
      </c>
      <c r="H10" s="65" t="inlineStr">
        <is>
          <t>NEFT/UPI</t>
        </is>
      </c>
    </row>
    <row r="11">
      <c r="A11" s="64" t="n">
        <v>46122</v>
      </c>
      <c r="B11" s="65" t="inlineStr">
        <is>
          <t>V-0007</t>
        </is>
      </c>
      <c r="C11" s="65" t="inlineStr">
        <is>
          <t>Receipt</t>
        </is>
      </c>
      <c r="D11" s="65" t="inlineStr">
        <is>
          <t>Gupta Electricals</t>
        </is>
      </c>
      <c r="F11" s="65" t="inlineStr">
        <is>
          <t>Bank</t>
        </is>
      </c>
      <c r="G11" s="67" t="n">
        <v>6600</v>
      </c>
      <c r="H11" s="65" t="inlineStr">
        <is>
          <t>NEFT/UPI</t>
        </is>
      </c>
    </row>
    <row r="12">
      <c r="A12" s="64" t="n">
        <v>46122</v>
      </c>
      <c r="B12" s="65" t="inlineStr">
        <is>
          <t>V-0008</t>
        </is>
      </c>
      <c r="C12" s="65" t="inlineStr">
        <is>
          <t>Receipt</t>
        </is>
      </c>
      <c r="D12" s="65" t="inlineStr">
        <is>
          <t>Delhi Hardware Mart</t>
        </is>
      </c>
      <c r="F12" s="65" t="inlineStr">
        <is>
          <t>UPI</t>
        </is>
      </c>
      <c r="G12" s="67" t="n">
        <v>3000</v>
      </c>
      <c r="H12" s="65" t="inlineStr">
        <is>
          <t>NEFT/UPI</t>
        </is>
      </c>
    </row>
    <row r="13">
      <c r="A13" s="64" t="n">
        <v>46122</v>
      </c>
      <c r="B13" s="65" t="inlineStr">
        <is>
          <t>V-0009</t>
        </is>
      </c>
      <c r="C13" s="65" t="inlineStr">
        <is>
          <t>Receipt</t>
        </is>
      </c>
      <c r="D13" s="65" t="inlineStr">
        <is>
          <t>Mehta Constructions</t>
        </is>
      </c>
      <c r="F13" s="65" t="inlineStr">
        <is>
          <t>Bank</t>
        </is>
      </c>
      <c r="G13" s="67" t="n">
        <v>6900</v>
      </c>
      <c r="H13" s="65" t="inlineStr">
        <is>
          <t>NEFT/UPI</t>
        </is>
      </c>
    </row>
    <row r="14">
      <c r="A14" s="64" t="n">
        <v>46122</v>
      </c>
      <c r="B14" s="65" t="inlineStr">
        <is>
          <t>V-0010</t>
        </is>
      </c>
      <c r="C14" s="65" t="inlineStr">
        <is>
          <t>Receipt</t>
        </is>
      </c>
      <c r="D14" s="65" t="inlineStr">
        <is>
          <t>FMCG Distributors</t>
        </is>
      </c>
      <c r="F14" s="65" t="inlineStr">
        <is>
          <t>UPI</t>
        </is>
      </c>
      <c r="G14" s="67" t="n">
        <v>700</v>
      </c>
      <c r="H14" s="65" t="inlineStr">
        <is>
          <t>NEFT/UPI</t>
        </is>
      </c>
    </row>
    <row r="15">
      <c r="A15" s="64" t="n">
        <v>46122</v>
      </c>
      <c r="B15" s="65" t="inlineStr">
        <is>
          <t>V-0011</t>
        </is>
      </c>
      <c r="C15" s="65" t="inlineStr">
        <is>
          <t>Payment</t>
        </is>
      </c>
      <c r="D15" s="65" t="inlineStr">
        <is>
          <t>Agro Foods Pvt Ltd</t>
        </is>
      </c>
      <c r="F15" s="65" t="inlineStr">
        <is>
          <t>Bank</t>
        </is>
      </c>
      <c r="G15" s="67" t="n">
        <v>20000</v>
      </c>
      <c r="H15" s="65" t="inlineStr">
        <is>
          <t>RTGS</t>
        </is>
      </c>
    </row>
    <row r="16">
      <c r="A16" s="64" t="n">
        <v>46122</v>
      </c>
      <c r="B16" s="65" t="inlineStr">
        <is>
          <t>V-0012</t>
        </is>
      </c>
      <c r="C16" s="65" t="inlineStr">
        <is>
          <t>Payment</t>
        </is>
      </c>
      <c r="D16" s="65" t="inlineStr">
        <is>
          <t>Bharat Electric Co</t>
        </is>
      </c>
      <c r="F16" s="65" t="inlineStr">
        <is>
          <t>Bank</t>
        </is>
      </c>
      <c r="G16" s="67" t="n">
        <v>54000</v>
      </c>
      <c r="H16" s="65" t="inlineStr">
        <is>
          <t>RTGS</t>
        </is>
      </c>
    </row>
    <row r="17">
      <c r="A17" s="64" t="n">
        <v>46122</v>
      </c>
      <c r="B17" s="65" t="inlineStr">
        <is>
          <t>V-0013</t>
        </is>
      </c>
      <c r="C17" s="65" t="inlineStr">
        <is>
          <t>Payment</t>
        </is>
      </c>
      <c r="D17" s="65" t="inlineStr">
        <is>
          <t>FMCG Distributors</t>
        </is>
      </c>
      <c r="F17" s="65" t="inlineStr">
        <is>
          <t>Bank</t>
        </is>
      </c>
      <c r="G17" s="67" t="n">
        <v>17000</v>
      </c>
      <c r="H17" s="65" t="inlineStr">
        <is>
          <t>RTGS</t>
        </is>
      </c>
    </row>
    <row r="18">
      <c r="A18" s="64" t="n">
        <v>46137</v>
      </c>
      <c r="B18" s="65" t="inlineStr">
        <is>
          <t>V-0014</t>
        </is>
      </c>
      <c r="C18" s="65" t="inlineStr">
        <is>
          <t>Receipt</t>
        </is>
      </c>
      <c r="D18" s="65" t="inlineStr">
        <is>
          <t>Sharma Kirana Store</t>
        </is>
      </c>
      <c r="F18" s="65" t="inlineStr">
        <is>
          <t>UPI</t>
        </is>
      </c>
      <c r="G18" s="67" t="n">
        <v>18300</v>
      </c>
      <c r="H18" s="65" t="inlineStr">
        <is>
          <t>NEFT/UPI</t>
        </is>
      </c>
    </row>
    <row r="19">
      <c r="A19" s="64" t="n">
        <v>46137</v>
      </c>
      <c r="B19" s="65" t="inlineStr">
        <is>
          <t>V-0015</t>
        </is>
      </c>
      <c r="C19" s="65" t="inlineStr">
        <is>
          <t>Receipt</t>
        </is>
      </c>
      <c r="D19" s="65" t="inlineStr">
        <is>
          <t>Gupta Electricals</t>
        </is>
      </c>
      <c r="F19" s="65" t="inlineStr">
        <is>
          <t>Bank</t>
        </is>
      </c>
      <c r="G19" s="67" t="n">
        <v>17900</v>
      </c>
      <c r="H19" s="65" t="inlineStr">
        <is>
          <t>NEFT/UPI</t>
        </is>
      </c>
    </row>
    <row r="20">
      <c r="A20" s="64" t="n">
        <v>46137</v>
      </c>
      <c r="B20" s="65" t="inlineStr">
        <is>
          <t>V-0016</t>
        </is>
      </c>
      <c r="C20" s="65" t="inlineStr">
        <is>
          <t>Receipt</t>
        </is>
      </c>
      <c r="D20" s="65" t="inlineStr">
        <is>
          <t>Delhi Hardware Mart</t>
        </is>
      </c>
      <c r="F20" s="65" t="inlineStr">
        <is>
          <t>Bank</t>
        </is>
      </c>
      <c r="G20" s="67" t="n">
        <v>7300</v>
      </c>
      <c r="H20" s="65" t="inlineStr">
        <is>
          <t>NEFT/UPI</t>
        </is>
      </c>
    </row>
    <row r="21">
      <c r="A21" s="64" t="n">
        <v>46137</v>
      </c>
      <c r="B21" s="65" t="inlineStr">
        <is>
          <t>V-0017</t>
        </is>
      </c>
      <c r="C21" s="65" t="inlineStr">
        <is>
          <t>Receipt</t>
        </is>
      </c>
      <c r="D21" s="65" t="inlineStr">
        <is>
          <t>Mehta Constructions</t>
        </is>
      </c>
      <c r="F21" s="65" t="inlineStr">
        <is>
          <t>Bank</t>
        </is>
      </c>
      <c r="G21" s="67" t="n">
        <v>19500</v>
      </c>
      <c r="H21" s="65" t="inlineStr">
        <is>
          <t>NEFT/UPI</t>
        </is>
      </c>
    </row>
    <row r="22">
      <c r="A22" s="64" t="n">
        <v>46137</v>
      </c>
      <c r="B22" s="65" t="inlineStr">
        <is>
          <t>V-0018</t>
        </is>
      </c>
      <c r="C22" s="65" t="inlineStr">
        <is>
          <t>Receipt</t>
        </is>
      </c>
      <c r="D22" s="65" t="inlineStr">
        <is>
          <t>FMCG Distributors</t>
        </is>
      </c>
      <c r="F22" s="65" t="inlineStr">
        <is>
          <t>Bank</t>
        </is>
      </c>
      <c r="G22" s="67" t="n">
        <v>5800</v>
      </c>
      <c r="H22" s="65" t="inlineStr">
        <is>
          <t>NEFT/UPI</t>
        </is>
      </c>
    </row>
    <row r="23">
      <c r="A23" s="64" t="n">
        <v>46137</v>
      </c>
      <c r="B23" s="65" t="inlineStr">
        <is>
          <t>V-0019</t>
        </is>
      </c>
      <c r="C23" s="65" t="inlineStr">
        <is>
          <t>Payment</t>
        </is>
      </c>
      <c r="D23" s="65" t="inlineStr">
        <is>
          <t>Agro Foods Pvt Ltd</t>
        </is>
      </c>
      <c r="F23" s="65" t="inlineStr">
        <is>
          <t>Bank</t>
        </is>
      </c>
      <c r="G23" s="67" t="n">
        <v>3000</v>
      </c>
      <c r="H23" s="65" t="inlineStr">
        <is>
          <t>RTGS</t>
        </is>
      </c>
    </row>
    <row r="24">
      <c r="A24" s="64" t="n">
        <v>46137</v>
      </c>
      <c r="B24" s="65" t="inlineStr">
        <is>
          <t>V-0020</t>
        </is>
      </c>
      <c r="C24" s="65" t="inlineStr">
        <is>
          <t>Payment</t>
        </is>
      </c>
      <c r="D24" s="65" t="inlineStr">
        <is>
          <t>Bharat Electric Co</t>
        </is>
      </c>
      <c r="F24" s="65" t="inlineStr">
        <is>
          <t>Bank</t>
        </is>
      </c>
      <c r="G24" s="67" t="n">
        <v>17000</v>
      </c>
      <c r="H24" s="65" t="inlineStr">
        <is>
          <t>RTGS</t>
        </is>
      </c>
    </row>
    <row r="25">
      <c r="A25" s="64" t="n">
        <v>46137</v>
      </c>
      <c r="B25" s="65" t="inlineStr">
        <is>
          <t>V-0021</t>
        </is>
      </c>
      <c r="C25" s="65" t="inlineStr">
        <is>
          <t>Payment</t>
        </is>
      </c>
      <c r="D25" s="65" t="inlineStr">
        <is>
          <t>FMCG Distributors</t>
        </is>
      </c>
      <c r="F25" s="65" t="inlineStr">
        <is>
          <t>Bank</t>
        </is>
      </c>
      <c r="G25" s="67" t="n">
        <v>4000</v>
      </c>
      <c r="H25" s="65" t="inlineStr">
        <is>
          <t>RTGS</t>
        </is>
      </c>
    </row>
    <row r="26">
      <c r="A26" s="64" t="n">
        <v>46138</v>
      </c>
      <c r="B26" s="65" t="inlineStr">
        <is>
          <t>V-0022</t>
        </is>
      </c>
      <c r="C26" s="65" t="inlineStr">
        <is>
          <t>Transfer Out</t>
        </is>
      </c>
      <c r="F26" s="65" t="inlineStr">
        <is>
          <t>Cash</t>
        </is>
      </c>
      <c r="G26" s="67" t="n">
        <v>145000</v>
      </c>
      <c r="H26" s="65" t="inlineStr">
        <is>
          <t>Cash deposited to Bank</t>
        </is>
      </c>
    </row>
    <row r="27">
      <c r="A27" s="64" t="n">
        <v>46138</v>
      </c>
      <c r="B27" s="65" t="inlineStr">
        <is>
          <t>V-0022</t>
        </is>
      </c>
      <c r="C27" s="65" t="inlineStr">
        <is>
          <t>Transfer In</t>
        </is>
      </c>
      <c r="F27" s="65" t="inlineStr">
        <is>
          <t>Bank</t>
        </is>
      </c>
      <c r="G27" s="67" t="n">
        <v>145000</v>
      </c>
      <c r="H27" s="65" t="inlineStr">
        <is>
          <t>Cash deposited to Bank</t>
        </is>
      </c>
    </row>
    <row r="28">
      <c r="A28" s="64" t="n">
        <v>46138</v>
      </c>
      <c r="B28" s="65" t="inlineStr">
        <is>
          <t>V-0023</t>
        </is>
      </c>
      <c r="C28" s="65" t="inlineStr">
        <is>
          <t>Transfer Out</t>
        </is>
      </c>
      <c r="F28" s="65" t="inlineStr">
        <is>
          <t>UPI</t>
        </is>
      </c>
      <c r="G28" s="67" t="n">
        <v>29000</v>
      </c>
      <c r="H28" s="65" t="inlineStr">
        <is>
          <t>UPI deposited to Bank</t>
        </is>
      </c>
    </row>
    <row r="29">
      <c r="A29" s="64" t="n">
        <v>46138</v>
      </c>
      <c r="B29" s="65" t="inlineStr">
        <is>
          <t>V-0023</t>
        </is>
      </c>
      <c r="C29" s="65" t="inlineStr">
        <is>
          <t>Transfer In</t>
        </is>
      </c>
      <c r="F29" s="65" t="inlineStr">
        <is>
          <t>Bank</t>
        </is>
      </c>
      <c r="G29" s="67" t="n">
        <v>29000</v>
      </c>
      <c r="H29" s="65" t="inlineStr">
        <is>
          <t>UPI deposited to Bank</t>
        </is>
      </c>
    </row>
    <row r="30">
      <c r="A30" s="64" t="n">
        <v>46147</v>
      </c>
      <c r="B30" s="65" t="inlineStr">
        <is>
          <t>V-0024</t>
        </is>
      </c>
      <c r="C30" s="65" t="inlineStr">
        <is>
          <t>Expense</t>
        </is>
      </c>
      <c r="E30" s="65" t="inlineStr">
        <is>
          <t>Rent</t>
        </is>
      </c>
      <c r="F30" s="65" t="inlineStr">
        <is>
          <t>Bank</t>
        </is>
      </c>
      <c r="G30" s="67" t="n">
        <v>18000</v>
      </c>
    </row>
    <row r="31">
      <c r="A31" s="64" t="n">
        <v>46147</v>
      </c>
      <c r="B31" s="65" t="inlineStr">
        <is>
          <t>V-0025</t>
        </is>
      </c>
      <c r="C31" s="65" t="inlineStr">
        <is>
          <t>Expense</t>
        </is>
      </c>
      <c r="E31" s="65" t="inlineStr">
        <is>
          <t>Salary</t>
        </is>
      </c>
      <c r="F31" s="65" t="inlineStr">
        <is>
          <t>Bank</t>
        </is>
      </c>
      <c r="G31" s="67" t="n">
        <v>26000</v>
      </c>
    </row>
    <row r="32">
      <c r="A32" s="64" t="n">
        <v>46147</v>
      </c>
      <c r="B32" s="65" t="inlineStr">
        <is>
          <t>V-0026</t>
        </is>
      </c>
      <c r="C32" s="65" t="inlineStr">
        <is>
          <t>Expense</t>
        </is>
      </c>
      <c r="E32" s="65" t="inlineStr">
        <is>
          <t>Electricity</t>
        </is>
      </c>
      <c r="F32" s="65" t="inlineStr">
        <is>
          <t>UPI</t>
        </is>
      </c>
      <c r="G32" s="67" t="n">
        <v>5088</v>
      </c>
    </row>
    <row r="33">
      <c r="A33" s="64" t="n">
        <v>46147</v>
      </c>
      <c r="B33" s="65" t="inlineStr">
        <is>
          <t>V-0027</t>
        </is>
      </c>
      <c r="C33" s="65" t="inlineStr">
        <is>
          <t>Expense</t>
        </is>
      </c>
      <c r="E33" s="65" t="inlineStr">
        <is>
          <t>Transport / Freight</t>
        </is>
      </c>
      <c r="F33" s="65" t="inlineStr">
        <is>
          <t>Cash</t>
        </is>
      </c>
      <c r="G33" s="67" t="n">
        <v>7723</v>
      </c>
    </row>
    <row r="34">
      <c r="A34" s="64" t="n">
        <v>46147</v>
      </c>
      <c r="B34" s="65" t="inlineStr">
        <is>
          <t>V-0028</t>
        </is>
      </c>
      <c r="C34" s="65" t="inlineStr">
        <is>
          <t>Expense</t>
        </is>
      </c>
      <c r="E34" s="65" t="inlineStr">
        <is>
          <t>Telephone / Internet</t>
        </is>
      </c>
      <c r="F34" s="65" t="inlineStr">
        <is>
          <t>UPI</t>
        </is>
      </c>
      <c r="G34" s="67" t="n">
        <v>1199</v>
      </c>
    </row>
    <row r="35">
      <c r="A35" s="64" t="n">
        <v>46152</v>
      </c>
      <c r="B35" s="65" t="inlineStr">
        <is>
          <t>V-0029</t>
        </is>
      </c>
      <c r="C35" s="65" t="inlineStr">
        <is>
          <t>Receipt</t>
        </is>
      </c>
      <c r="D35" s="65" t="inlineStr">
        <is>
          <t>Sharma Kirana Store</t>
        </is>
      </c>
      <c r="F35" s="65" t="inlineStr">
        <is>
          <t>Bank</t>
        </is>
      </c>
      <c r="G35" s="67" t="n">
        <v>19200</v>
      </c>
      <c r="H35" s="65" t="inlineStr">
        <is>
          <t>NEFT/UPI</t>
        </is>
      </c>
    </row>
    <row r="36">
      <c r="A36" s="64" t="n">
        <v>46152</v>
      </c>
      <c r="B36" s="65" t="inlineStr">
        <is>
          <t>V-0030</t>
        </is>
      </c>
      <c r="C36" s="65" t="inlineStr">
        <is>
          <t>Receipt</t>
        </is>
      </c>
      <c r="D36" s="65" t="inlineStr">
        <is>
          <t>Gupta Electricals</t>
        </is>
      </c>
      <c r="F36" s="65" t="inlineStr">
        <is>
          <t>Bank</t>
        </is>
      </c>
      <c r="G36" s="67" t="n">
        <v>9900</v>
      </c>
      <c r="H36" s="65" t="inlineStr">
        <is>
          <t>NEFT/UPI</t>
        </is>
      </c>
    </row>
    <row r="37">
      <c r="A37" s="64" t="n">
        <v>46152</v>
      </c>
      <c r="B37" s="65" t="inlineStr">
        <is>
          <t>V-0031</t>
        </is>
      </c>
      <c r="C37" s="65" t="inlineStr">
        <is>
          <t>Receipt</t>
        </is>
      </c>
      <c r="D37" s="65" t="inlineStr">
        <is>
          <t>Delhi Hardware Mart</t>
        </is>
      </c>
      <c r="F37" s="65" t="inlineStr">
        <is>
          <t>Bank</t>
        </is>
      </c>
      <c r="G37" s="67" t="n">
        <v>20200</v>
      </c>
      <c r="H37" s="65" t="inlineStr">
        <is>
          <t>NEFT/UPI</t>
        </is>
      </c>
    </row>
    <row r="38">
      <c r="A38" s="64" t="n">
        <v>46152</v>
      </c>
      <c r="B38" s="65" t="inlineStr">
        <is>
          <t>V-0032</t>
        </is>
      </c>
      <c r="C38" s="65" t="inlineStr">
        <is>
          <t>Receipt</t>
        </is>
      </c>
      <c r="D38" s="65" t="inlineStr">
        <is>
          <t>Mehta Constructions</t>
        </is>
      </c>
      <c r="F38" s="65" t="inlineStr">
        <is>
          <t>UPI</t>
        </is>
      </c>
      <c r="G38" s="67" t="n">
        <v>3200</v>
      </c>
      <c r="H38" s="65" t="inlineStr">
        <is>
          <t>NEFT/UPI</t>
        </is>
      </c>
    </row>
    <row r="39">
      <c r="A39" s="64" t="n">
        <v>46152</v>
      </c>
      <c r="B39" s="65" t="inlineStr">
        <is>
          <t>V-0033</t>
        </is>
      </c>
      <c r="C39" s="65" t="inlineStr">
        <is>
          <t>Receipt</t>
        </is>
      </c>
      <c r="D39" s="65" t="inlineStr">
        <is>
          <t>FMCG Distributors</t>
        </is>
      </c>
      <c r="F39" s="65" t="inlineStr">
        <is>
          <t>UPI</t>
        </is>
      </c>
      <c r="G39" s="67" t="n">
        <v>11300</v>
      </c>
      <c r="H39" s="65" t="inlineStr">
        <is>
          <t>NEFT/UPI</t>
        </is>
      </c>
    </row>
    <row r="40">
      <c r="A40" s="64" t="n">
        <v>46152</v>
      </c>
      <c r="B40" s="65" t="inlineStr">
        <is>
          <t>V-0034</t>
        </is>
      </c>
      <c r="C40" s="65" t="inlineStr">
        <is>
          <t>Payment</t>
        </is>
      </c>
      <c r="D40" s="65" t="inlineStr">
        <is>
          <t>Agro Foods Pvt Ltd</t>
        </is>
      </c>
      <c r="F40" s="65" t="inlineStr">
        <is>
          <t>Bank</t>
        </is>
      </c>
      <c r="G40" s="67" t="n">
        <v>144000</v>
      </c>
      <c r="H40" s="65" t="inlineStr">
        <is>
          <t>RTGS</t>
        </is>
      </c>
    </row>
    <row r="41">
      <c r="A41" s="64" t="n">
        <v>46152</v>
      </c>
      <c r="B41" s="65" t="inlineStr">
        <is>
          <t>V-0035</t>
        </is>
      </c>
      <c r="C41" s="65" t="inlineStr">
        <is>
          <t>Payment</t>
        </is>
      </c>
      <c r="D41" s="65" t="inlineStr">
        <is>
          <t>Bharat Electric Co</t>
        </is>
      </c>
      <c r="F41" s="65" t="inlineStr">
        <is>
          <t>Bank</t>
        </is>
      </c>
      <c r="G41" s="67" t="n">
        <v>6000</v>
      </c>
      <c r="H41" s="65" t="inlineStr">
        <is>
          <t>RTGS</t>
        </is>
      </c>
    </row>
    <row r="42">
      <c r="A42" s="64" t="n">
        <v>46152</v>
      </c>
      <c r="B42" s="65" t="inlineStr">
        <is>
          <t>V-0036</t>
        </is>
      </c>
      <c r="C42" s="65" t="inlineStr">
        <is>
          <t>Payment</t>
        </is>
      </c>
      <c r="D42" s="65" t="inlineStr">
        <is>
          <t>FMCG Distributors</t>
        </is>
      </c>
      <c r="F42" s="65" t="inlineStr">
        <is>
          <t>Bank</t>
        </is>
      </c>
      <c r="G42" s="67" t="n">
        <v>40000</v>
      </c>
      <c r="H42" s="65" t="inlineStr">
        <is>
          <t>RTGS</t>
        </is>
      </c>
    </row>
    <row r="43">
      <c r="A43" s="64" t="n">
        <v>46152</v>
      </c>
      <c r="B43" s="65" t="inlineStr">
        <is>
          <t>V-0037</t>
        </is>
      </c>
      <c r="C43" s="65" t="inlineStr">
        <is>
          <t>Payment</t>
        </is>
      </c>
      <c r="D43" s="65" t="inlineStr">
        <is>
          <t>National Hardware Supply</t>
        </is>
      </c>
      <c r="F43" s="65" t="inlineStr">
        <is>
          <t>Bank</t>
        </is>
      </c>
      <c r="G43" s="67" t="n">
        <v>54000</v>
      </c>
      <c r="H43" s="65" t="inlineStr">
        <is>
          <t>RTGS</t>
        </is>
      </c>
    </row>
    <row r="44">
      <c r="A44" s="64" t="n">
        <v>46167</v>
      </c>
      <c r="B44" s="65" t="inlineStr">
        <is>
          <t>V-0038</t>
        </is>
      </c>
      <c r="C44" s="65" t="inlineStr">
        <is>
          <t>Receipt</t>
        </is>
      </c>
      <c r="D44" s="65" t="inlineStr">
        <is>
          <t>Sharma Kirana Store</t>
        </is>
      </c>
      <c r="F44" s="65" t="inlineStr">
        <is>
          <t>Bank</t>
        </is>
      </c>
      <c r="G44" s="67" t="n">
        <v>14200</v>
      </c>
      <c r="H44" s="65" t="inlineStr">
        <is>
          <t>NEFT/UPI</t>
        </is>
      </c>
    </row>
    <row r="45">
      <c r="A45" s="64" t="n">
        <v>46167</v>
      </c>
      <c r="B45" s="65" t="inlineStr">
        <is>
          <t>V-0039</t>
        </is>
      </c>
      <c r="C45" s="65" t="inlineStr">
        <is>
          <t>Receipt</t>
        </is>
      </c>
      <c r="D45" s="65" t="inlineStr">
        <is>
          <t>Gupta Electricals</t>
        </is>
      </c>
      <c r="F45" s="65" t="inlineStr">
        <is>
          <t>UPI</t>
        </is>
      </c>
      <c r="G45" s="67" t="n">
        <v>20100</v>
      </c>
      <c r="H45" s="65" t="inlineStr">
        <is>
          <t>NEFT/UPI</t>
        </is>
      </c>
    </row>
    <row r="46">
      <c r="A46" s="64" t="n">
        <v>46167</v>
      </c>
      <c r="B46" s="65" t="inlineStr">
        <is>
          <t>V-0040</t>
        </is>
      </c>
      <c r="C46" s="65" t="inlineStr">
        <is>
          <t>Receipt</t>
        </is>
      </c>
      <c r="D46" s="65" t="inlineStr">
        <is>
          <t>Delhi Hardware Mart</t>
        </is>
      </c>
      <c r="F46" s="65" t="inlineStr">
        <is>
          <t>Bank</t>
        </is>
      </c>
      <c r="G46" s="67" t="n">
        <v>8200</v>
      </c>
      <c r="H46" s="65" t="inlineStr">
        <is>
          <t>NEFT/UPI</t>
        </is>
      </c>
    </row>
    <row r="47">
      <c r="A47" s="64" t="n">
        <v>46167</v>
      </c>
      <c r="B47" s="65" t="inlineStr">
        <is>
          <t>V-0041</t>
        </is>
      </c>
      <c r="C47" s="65" t="inlineStr">
        <is>
          <t>Receipt</t>
        </is>
      </c>
      <c r="D47" s="65" t="inlineStr">
        <is>
          <t>Mehta Constructions</t>
        </is>
      </c>
      <c r="F47" s="65" t="inlineStr">
        <is>
          <t>UPI</t>
        </is>
      </c>
      <c r="G47" s="67" t="n">
        <v>14600</v>
      </c>
      <c r="H47" s="65" t="inlineStr">
        <is>
          <t>NEFT/UPI</t>
        </is>
      </c>
    </row>
    <row r="48">
      <c r="A48" s="64" t="n">
        <v>46167</v>
      </c>
      <c r="B48" s="65" t="inlineStr">
        <is>
          <t>V-0042</t>
        </is>
      </c>
      <c r="C48" s="65" t="inlineStr">
        <is>
          <t>Receipt</t>
        </is>
      </c>
      <c r="D48" s="65" t="inlineStr">
        <is>
          <t>FMCG Distributors</t>
        </is>
      </c>
      <c r="F48" s="65" t="inlineStr">
        <is>
          <t>Bank</t>
        </is>
      </c>
      <c r="G48" s="67" t="n">
        <v>11000</v>
      </c>
      <c r="H48" s="65" t="inlineStr">
        <is>
          <t>NEFT/UPI</t>
        </is>
      </c>
    </row>
    <row r="49">
      <c r="A49" s="64" t="n">
        <v>46167</v>
      </c>
      <c r="B49" s="65" t="inlineStr">
        <is>
          <t>V-0043</t>
        </is>
      </c>
      <c r="C49" s="65" t="inlineStr">
        <is>
          <t>Payment</t>
        </is>
      </c>
      <c r="D49" s="65" t="inlineStr">
        <is>
          <t>Agro Foods Pvt Ltd</t>
        </is>
      </c>
      <c r="F49" s="65" t="inlineStr">
        <is>
          <t>Bank</t>
        </is>
      </c>
      <c r="G49" s="67" t="n">
        <v>42000</v>
      </c>
      <c r="H49" s="65" t="inlineStr">
        <is>
          <t>RTGS</t>
        </is>
      </c>
    </row>
    <row r="50">
      <c r="A50" s="64" t="n">
        <v>46167</v>
      </c>
      <c r="B50" s="65" t="inlineStr">
        <is>
          <t>V-0044</t>
        </is>
      </c>
      <c r="C50" s="65" t="inlineStr">
        <is>
          <t>Payment</t>
        </is>
      </c>
      <c r="D50" s="65" t="inlineStr">
        <is>
          <t>Bharat Electric Co</t>
        </is>
      </c>
      <c r="F50" s="65" t="inlineStr">
        <is>
          <t>Bank</t>
        </is>
      </c>
      <c r="G50" s="67" t="n">
        <v>1000</v>
      </c>
      <c r="H50" s="65" t="inlineStr">
        <is>
          <t>RTGS</t>
        </is>
      </c>
    </row>
    <row r="51">
      <c r="A51" s="64" t="n">
        <v>46167</v>
      </c>
      <c r="B51" s="65" t="inlineStr">
        <is>
          <t>V-0045</t>
        </is>
      </c>
      <c r="C51" s="65" t="inlineStr">
        <is>
          <t>Payment</t>
        </is>
      </c>
      <c r="D51" s="65" t="inlineStr">
        <is>
          <t>FMCG Distributors</t>
        </is>
      </c>
      <c r="F51" s="65" t="inlineStr">
        <is>
          <t>Bank</t>
        </is>
      </c>
      <c r="G51" s="67" t="n">
        <v>13000</v>
      </c>
      <c r="H51" s="65" t="inlineStr">
        <is>
          <t>RTGS</t>
        </is>
      </c>
    </row>
    <row r="52">
      <c r="A52" s="64" t="n">
        <v>46167</v>
      </c>
      <c r="B52" s="65" t="inlineStr">
        <is>
          <t>V-0046</t>
        </is>
      </c>
      <c r="C52" s="65" t="inlineStr">
        <is>
          <t>Payment</t>
        </is>
      </c>
      <c r="D52" s="65" t="inlineStr">
        <is>
          <t>National Hardware Supply</t>
        </is>
      </c>
      <c r="F52" s="65" t="inlineStr">
        <is>
          <t>Bank</t>
        </is>
      </c>
      <c r="G52" s="67" t="n">
        <v>23000</v>
      </c>
      <c r="H52" s="65" t="inlineStr">
        <is>
          <t>RTGS</t>
        </is>
      </c>
    </row>
    <row r="53">
      <c r="A53" s="64" t="n">
        <v>46168</v>
      </c>
      <c r="B53" s="65" t="inlineStr">
        <is>
          <t>V-0047</t>
        </is>
      </c>
      <c r="C53" s="65" t="inlineStr">
        <is>
          <t>Transfer Out</t>
        </is>
      </c>
      <c r="F53" s="65" t="inlineStr">
        <is>
          <t>Cash</t>
        </is>
      </c>
      <c r="G53" s="67" t="n">
        <v>129000</v>
      </c>
      <c r="H53" s="65" t="inlineStr">
        <is>
          <t>Cash deposited to Bank</t>
        </is>
      </c>
    </row>
    <row r="54">
      <c r="A54" s="64" t="n">
        <v>46168</v>
      </c>
      <c r="B54" s="65" t="inlineStr">
        <is>
          <t>V-0047</t>
        </is>
      </c>
      <c r="C54" s="65" t="inlineStr">
        <is>
          <t>Transfer In</t>
        </is>
      </c>
      <c r="F54" s="65" t="inlineStr">
        <is>
          <t>Bank</t>
        </is>
      </c>
      <c r="G54" s="67" t="n">
        <v>129000</v>
      </c>
      <c r="H54" s="65" t="inlineStr">
        <is>
          <t>Cash deposited to Bank</t>
        </is>
      </c>
    </row>
    <row r="55">
      <c r="A55" s="64" t="n">
        <v>46168</v>
      </c>
      <c r="B55" s="65" t="inlineStr">
        <is>
          <t>V-0048</t>
        </is>
      </c>
      <c r="C55" s="65" t="inlineStr">
        <is>
          <t>Transfer Out</t>
        </is>
      </c>
      <c r="F55" s="65" t="inlineStr">
        <is>
          <t>UPI</t>
        </is>
      </c>
      <c r="G55" s="67" t="n">
        <v>76000</v>
      </c>
      <c r="H55" s="65" t="inlineStr">
        <is>
          <t>UPI deposited to Bank</t>
        </is>
      </c>
    </row>
    <row r="56">
      <c r="A56" s="64" t="n">
        <v>46168</v>
      </c>
      <c r="B56" s="65" t="inlineStr">
        <is>
          <t>V-0048</t>
        </is>
      </c>
      <c r="C56" s="65" t="inlineStr">
        <is>
          <t>Transfer In</t>
        </is>
      </c>
      <c r="F56" s="65" t="inlineStr">
        <is>
          <t>Bank</t>
        </is>
      </c>
      <c r="G56" s="67" t="n">
        <v>76000</v>
      </c>
      <c r="H56" s="65" t="inlineStr">
        <is>
          <t>UPI deposited to Bank</t>
        </is>
      </c>
    </row>
    <row r="57">
      <c r="A57" s="64" t="n">
        <v>46178</v>
      </c>
      <c r="B57" s="65" t="inlineStr">
        <is>
          <t>V-0049</t>
        </is>
      </c>
      <c r="C57" s="65" t="inlineStr">
        <is>
          <t>Expense</t>
        </is>
      </c>
      <c r="E57" s="65" t="inlineStr">
        <is>
          <t>Rent</t>
        </is>
      </c>
      <c r="F57" s="65" t="inlineStr">
        <is>
          <t>Bank</t>
        </is>
      </c>
      <c r="G57" s="67" t="n">
        <v>18000</v>
      </c>
    </row>
    <row r="58">
      <c r="A58" s="64" t="n">
        <v>46178</v>
      </c>
      <c r="B58" s="65" t="inlineStr">
        <is>
          <t>V-0050</t>
        </is>
      </c>
      <c r="C58" s="65" t="inlineStr">
        <is>
          <t>Expense</t>
        </is>
      </c>
      <c r="E58" s="65" t="inlineStr">
        <is>
          <t>Salary</t>
        </is>
      </c>
      <c r="F58" s="65" t="inlineStr">
        <is>
          <t>Bank</t>
        </is>
      </c>
      <c r="G58" s="67" t="n">
        <v>26000</v>
      </c>
    </row>
    <row r="59">
      <c r="A59" s="64" t="n">
        <v>46178</v>
      </c>
      <c r="B59" s="65" t="inlineStr">
        <is>
          <t>V-0051</t>
        </is>
      </c>
      <c r="C59" s="65" t="inlineStr">
        <is>
          <t>Expense</t>
        </is>
      </c>
      <c r="E59" s="65" t="inlineStr">
        <is>
          <t>Electricity</t>
        </is>
      </c>
      <c r="F59" s="65" t="inlineStr">
        <is>
          <t>UPI</t>
        </is>
      </c>
      <c r="G59" s="67" t="n">
        <v>3512</v>
      </c>
    </row>
    <row r="60">
      <c r="A60" s="64" t="n">
        <v>46178</v>
      </c>
      <c r="B60" s="65" t="inlineStr">
        <is>
          <t>V-0052</t>
        </is>
      </c>
      <c r="C60" s="65" t="inlineStr">
        <is>
          <t>Expense</t>
        </is>
      </c>
      <c r="E60" s="65" t="inlineStr">
        <is>
          <t>Transport / Freight</t>
        </is>
      </c>
      <c r="F60" s="65" t="inlineStr">
        <is>
          <t>Cash</t>
        </is>
      </c>
      <c r="G60" s="67" t="n">
        <v>6983</v>
      </c>
    </row>
    <row r="61">
      <c r="A61" s="64" t="n">
        <v>46178</v>
      </c>
      <c r="B61" s="65" t="inlineStr">
        <is>
          <t>V-0053</t>
        </is>
      </c>
      <c r="C61" s="65" t="inlineStr">
        <is>
          <t>Expense</t>
        </is>
      </c>
      <c r="E61" s="65" t="inlineStr">
        <is>
          <t>Telephone / Internet</t>
        </is>
      </c>
      <c r="F61" s="65" t="inlineStr">
        <is>
          <t>UPI</t>
        </is>
      </c>
      <c r="G61" s="67" t="n">
        <v>1199</v>
      </c>
    </row>
    <row r="62">
      <c r="A62" s="64" t="n">
        <v>46183</v>
      </c>
      <c r="B62" s="65" t="inlineStr">
        <is>
          <t>V-0054</t>
        </is>
      </c>
      <c r="C62" s="65" t="inlineStr">
        <is>
          <t>Receipt</t>
        </is>
      </c>
      <c r="D62" s="65" t="inlineStr">
        <is>
          <t>Sharma Kirana Store</t>
        </is>
      </c>
      <c r="F62" s="65" t="inlineStr">
        <is>
          <t>Bank</t>
        </is>
      </c>
      <c r="G62" s="67" t="n">
        <v>16200</v>
      </c>
      <c r="H62" s="65" t="inlineStr">
        <is>
          <t>NEFT/UPI</t>
        </is>
      </c>
    </row>
    <row r="63">
      <c r="A63" s="64" t="n">
        <v>46183</v>
      </c>
      <c r="B63" s="65" t="inlineStr">
        <is>
          <t>V-0055</t>
        </is>
      </c>
      <c r="C63" s="65" t="inlineStr">
        <is>
          <t>Receipt</t>
        </is>
      </c>
      <c r="D63" s="65" t="inlineStr">
        <is>
          <t>Gupta Electricals</t>
        </is>
      </c>
      <c r="F63" s="65" t="inlineStr">
        <is>
          <t>UPI</t>
        </is>
      </c>
      <c r="G63" s="67" t="n">
        <v>16000</v>
      </c>
      <c r="H63" s="65" t="inlineStr">
        <is>
          <t>NEFT/UPI</t>
        </is>
      </c>
    </row>
    <row r="64">
      <c r="A64" s="64" t="n">
        <v>46183</v>
      </c>
      <c r="B64" s="65" t="inlineStr">
        <is>
          <t>V-0056</t>
        </is>
      </c>
      <c r="C64" s="65" t="inlineStr">
        <is>
          <t>Receipt</t>
        </is>
      </c>
      <c r="D64" s="65" t="inlineStr">
        <is>
          <t>Delhi Hardware Mart</t>
        </is>
      </c>
      <c r="F64" s="65" t="inlineStr">
        <is>
          <t>Bank</t>
        </is>
      </c>
      <c r="G64" s="67" t="n">
        <v>3900</v>
      </c>
      <c r="H64" s="65" t="inlineStr">
        <is>
          <t>NEFT/UPI</t>
        </is>
      </c>
    </row>
    <row r="65">
      <c r="A65" s="64" t="n">
        <v>46183</v>
      </c>
      <c r="B65" s="65" t="inlineStr">
        <is>
          <t>V-0057</t>
        </is>
      </c>
      <c r="C65" s="65" t="inlineStr">
        <is>
          <t>Receipt</t>
        </is>
      </c>
      <c r="D65" s="65" t="inlineStr">
        <is>
          <t>Mehta Constructions</t>
        </is>
      </c>
      <c r="F65" s="65" t="inlineStr">
        <is>
          <t>UPI</t>
        </is>
      </c>
      <c r="G65" s="67" t="n">
        <v>13300</v>
      </c>
      <c r="H65" s="65" t="inlineStr">
        <is>
          <t>NEFT/UPI</t>
        </is>
      </c>
    </row>
    <row r="66">
      <c r="A66" s="64" t="n">
        <v>46183</v>
      </c>
      <c r="B66" s="65" t="inlineStr">
        <is>
          <t>V-0058</t>
        </is>
      </c>
      <c r="C66" s="65" t="inlineStr">
        <is>
          <t>Receipt</t>
        </is>
      </c>
      <c r="D66" s="65" t="inlineStr">
        <is>
          <t>FMCG Distributors</t>
        </is>
      </c>
      <c r="F66" s="65" t="inlineStr">
        <is>
          <t>Bank</t>
        </is>
      </c>
      <c r="G66" s="67" t="n">
        <v>11500</v>
      </c>
      <c r="H66" s="65" t="inlineStr">
        <is>
          <t>NEFT/UPI</t>
        </is>
      </c>
    </row>
    <row r="67">
      <c r="A67" s="64" t="n">
        <v>46183</v>
      </c>
      <c r="B67" s="65" t="inlineStr">
        <is>
          <t>V-0059</t>
        </is>
      </c>
      <c r="C67" s="65" t="inlineStr">
        <is>
          <t>Payment</t>
        </is>
      </c>
      <c r="D67" s="65" t="inlineStr">
        <is>
          <t>Agro Foods Pvt Ltd</t>
        </is>
      </c>
      <c r="F67" s="65" t="inlineStr">
        <is>
          <t>Bank</t>
        </is>
      </c>
      <c r="G67" s="67" t="n">
        <v>14000</v>
      </c>
      <c r="H67" s="65" t="inlineStr">
        <is>
          <t>RTGS</t>
        </is>
      </c>
    </row>
    <row r="68">
      <c r="A68" s="64" t="n">
        <v>46183</v>
      </c>
      <c r="B68" s="65" t="inlineStr">
        <is>
          <t>V-0060</t>
        </is>
      </c>
      <c r="C68" s="65" t="inlineStr">
        <is>
          <t>Payment</t>
        </is>
      </c>
      <c r="D68" s="65" t="inlineStr">
        <is>
          <t>Bharat Electric Co</t>
        </is>
      </c>
      <c r="F68" s="65" t="inlineStr">
        <is>
          <t>Bank</t>
        </is>
      </c>
      <c r="G68" s="67" t="n">
        <v>57000</v>
      </c>
      <c r="H68" s="65" t="inlineStr">
        <is>
          <t>RTGS</t>
        </is>
      </c>
    </row>
    <row r="69">
      <c r="A69" s="64" t="n">
        <v>46183</v>
      </c>
      <c r="B69" s="65" t="inlineStr">
        <is>
          <t>V-0061</t>
        </is>
      </c>
      <c r="C69" s="65" t="inlineStr">
        <is>
          <t>Payment</t>
        </is>
      </c>
      <c r="D69" s="65" t="inlineStr">
        <is>
          <t>FMCG Distributors</t>
        </is>
      </c>
      <c r="F69" s="65" t="inlineStr">
        <is>
          <t>Bank</t>
        </is>
      </c>
      <c r="G69" s="67" t="n">
        <v>34000</v>
      </c>
      <c r="H69" s="65" t="inlineStr">
        <is>
          <t>RTGS</t>
        </is>
      </c>
    </row>
    <row r="70">
      <c r="A70" s="64" t="n">
        <v>46183</v>
      </c>
      <c r="B70" s="65" t="inlineStr">
        <is>
          <t>V-0062</t>
        </is>
      </c>
      <c r="C70" s="65" t="inlineStr">
        <is>
          <t>Payment</t>
        </is>
      </c>
      <c r="D70" s="65" t="inlineStr">
        <is>
          <t>National Hardware Supply</t>
        </is>
      </c>
      <c r="F70" s="65" t="inlineStr">
        <is>
          <t>Bank</t>
        </is>
      </c>
      <c r="G70" s="67" t="n">
        <v>3000</v>
      </c>
      <c r="H70" s="65" t="inlineStr">
        <is>
          <t>RTGS</t>
        </is>
      </c>
    </row>
    <row r="71">
      <c r="A71" s="64" t="n">
        <v>46198</v>
      </c>
      <c r="B71" s="65" t="inlineStr">
        <is>
          <t>V-0063</t>
        </is>
      </c>
      <c r="C71" s="65" t="inlineStr">
        <is>
          <t>Receipt</t>
        </is>
      </c>
      <c r="D71" s="65" t="inlineStr">
        <is>
          <t>Sharma Kirana Store</t>
        </is>
      </c>
      <c r="F71" s="65" t="inlineStr">
        <is>
          <t>UPI</t>
        </is>
      </c>
      <c r="G71" s="67" t="n">
        <v>12200</v>
      </c>
      <c r="H71" s="65" t="inlineStr">
        <is>
          <t>NEFT/UPI</t>
        </is>
      </c>
    </row>
    <row r="72">
      <c r="A72" s="64" t="n">
        <v>46198</v>
      </c>
      <c r="B72" s="65" t="inlineStr">
        <is>
          <t>V-0064</t>
        </is>
      </c>
      <c r="C72" s="65" t="inlineStr">
        <is>
          <t>Receipt</t>
        </is>
      </c>
      <c r="D72" s="65" t="inlineStr">
        <is>
          <t>Gupta Electricals</t>
        </is>
      </c>
      <c r="F72" s="65" t="inlineStr">
        <is>
          <t>Bank</t>
        </is>
      </c>
      <c r="G72" s="67" t="n">
        <v>17600</v>
      </c>
      <c r="H72" s="65" t="inlineStr">
        <is>
          <t>NEFT/UPI</t>
        </is>
      </c>
    </row>
    <row r="73">
      <c r="A73" s="64" t="n">
        <v>46198</v>
      </c>
      <c r="B73" s="65" t="inlineStr">
        <is>
          <t>V-0065</t>
        </is>
      </c>
      <c r="C73" s="65" t="inlineStr">
        <is>
          <t>Receipt</t>
        </is>
      </c>
      <c r="D73" s="65" t="inlineStr">
        <is>
          <t>Delhi Hardware Mart</t>
        </is>
      </c>
      <c r="F73" s="65" t="inlineStr">
        <is>
          <t>Bank</t>
        </is>
      </c>
      <c r="G73" s="67" t="n">
        <v>5100</v>
      </c>
      <c r="H73" s="65" t="inlineStr">
        <is>
          <t>NEFT/UPI</t>
        </is>
      </c>
    </row>
    <row r="74">
      <c r="A74" s="64" t="n">
        <v>46198</v>
      </c>
      <c r="B74" s="65" t="inlineStr">
        <is>
          <t>V-0066</t>
        </is>
      </c>
      <c r="C74" s="65" t="inlineStr">
        <is>
          <t>Receipt</t>
        </is>
      </c>
      <c r="D74" s="65" t="inlineStr">
        <is>
          <t>Mehta Constructions</t>
        </is>
      </c>
      <c r="F74" s="65" t="inlineStr">
        <is>
          <t>Bank</t>
        </is>
      </c>
      <c r="G74" s="67" t="n">
        <v>5100</v>
      </c>
      <c r="H74" s="65" t="inlineStr">
        <is>
          <t>NEFT/UPI</t>
        </is>
      </c>
    </row>
    <row r="75">
      <c r="A75" s="64" t="n">
        <v>46198</v>
      </c>
      <c r="B75" s="65" t="inlineStr">
        <is>
          <t>V-0067</t>
        </is>
      </c>
      <c r="C75" s="65" t="inlineStr">
        <is>
          <t>Receipt</t>
        </is>
      </c>
      <c r="D75" s="65" t="inlineStr">
        <is>
          <t>FMCG Distributors</t>
        </is>
      </c>
      <c r="F75" s="65" t="inlineStr">
        <is>
          <t>Bank</t>
        </is>
      </c>
      <c r="G75" s="67" t="n">
        <v>13300</v>
      </c>
      <c r="H75" s="65" t="inlineStr">
        <is>
          <t>NEFT/UPI</t>
        </is>
      </c>
    </row>
    <row r="76">
      <c r="A76" s="64" t="n">
        <v>46198</v>
      </c>
      <c r="B76" s="65" t="inlineStr">
        <is>
          <t>V-0068</t>
        </is>
      </c>
      <c r="C76" s="65" t="inlineStr">
        <is>
          <t>Payment</t>
        </is>
      </c>
      <c r="D76" s="65" t="inlineStr">
        <is>
          <t>Agro Foods Pvt Ltd</t>
        </is>
      </c>
      <c r="F76" s="65" t="inlineStr">
        <is>
          <t>Bank</t>
        </is>
      </c>
      <c r="G76" s="67" t="n">
        <v>6000</v>
      </c>
      <c r="H76" s="65" t="inlineStr">
        <is>
          <t>RTGS</t>
        </is>
      </c>
    </row>
    <row r="77">
      <c r="A77" s="64" t="n">
        <v>46198</v>
      </c>
      <c r="B77" s="65" t="inlineStr">
        <is>
          <t>V-0069</t>
        </is>
      </c>
      <c r="C77" s="65" t="inlineStr">
        <is>
          <t>Payment</t>
        </is>
      </c>
      <c r="D77" s="65" t="inlineStr">
        <is>
          <t>Bharat Electric Co</t>
        </is>
      </c>
      <c r="F77" s="65" t="inlineStr">
        <is>
          <t>Bank</t>
        </is>
      </c>
      <c r="G77" s="67" t="n">
        <v>26000</v>
      </c>
      <c r="H77" s="65" t="inlineStr">
        <is>
          <t>RTGS</t>
        </is>
      </c>
    </row>
    <row r="78">
      <c r="A78" s="64" t="n">
        <v>46198</v>
      </c>
      <c r="B78" s="65" t="inlineStr">
        <is>
          <t>V-0070</t>
        </is>
      </c>
      <c r="C78" s="65" t="inlineStr">
        <is>
          <t>Payment</t>
        </is>
      </c>
      <c r="D78" s="65" t="inlineStr">
        <is>
          <t>FMCG Distributors</t>
        </is>
      </c>
      <c r="F78" s="65" t="inlineStr">
        <is>
          <t>Bank</t>
        </is>
      </c>
      <c r="G78" s="67" t="n">
        <v>18000</v>
      </c>
      <c r="H78" s="65" t="inlineStr">
        <is>
          <t>RTGS</t>
        </is>
      </c>
    </row>
    <row r="79">
      <c r="A79" s="64" t="n">
        <v>46198</v>
      </c>
      <c r="B79" s="65" t="inlineStr">
        <is>
          <t>V-0071</t>
        </is>
      </c>
      <c r="C79" s="65" t="inlineStr">
        <is>
          <t>Payment</t>
        </is>
      </c>
      <c r="D79" s="65" t="inlineStr">
        <is>
          <t>National Hardware Supply</t>
        </is>
      </c>
      <c r="F79" s="65" t="inlineStr">
        <is>
          <t>Bank</t>
        </is>
      </c>
      <c r="G79" s="67" t="n">
        <v>1000</v>
      </c>
      <c r="H79" s="65" t="inlineStr">
        <is>
          <t>RTGS</t>
        </is>
      </c>
    </row>
    <row r="80">
      <c r="A80" s="64" t="n">
        <v>46199</v>
      </c>
      <c r="B80" s="65" t="inlineStr">
        <is>
          <t>V-0072</t>
        </is>
      </c>
      <c r="C80" s="65" t="inlineStr">
        <is>
          <t>Transfer Out</t>
        </is>
      </c>
      <c r="F80" s="65" t="inlineStr">
        <is>
          <t>Cash</t>
        </is>
      </c>
      <c r="G80" s="67" t="n">
        <v>173000</v>
      </c>
      <c r="H80" s="65" t="inlineStr">
        <is>
          <t>Cash deposited to Bank</t>
        </is>
      </c>
    </row>
    <row r="81">
      <c r="A81" s="64" t="n">
        <v>46199</v>
      </c>
      <c r="B81" s="65" t="inlineStr">
        <is>
          <t>V-0072</t>
        </is>
      </c>
      <c r="C81" s="65" t="inlineStr">
        <is>
          <t>Transfer In</t>
        </is>
      </c>
      <c r="F81" s="65" t="inlineStr">
        <is>
          <t>Bank</t>
        </is>
      </c>
      <c r="G81" s="67" t="n">
        <v>173000</v>
      </c>
      <c r="H81" s="65" t="inlineStr">
        <is>
          <t>Cash deposited to Bank</t>
        </is>
      </c>
    </row>
    <row r="82">
      <c r="A82" s="64" t="n">
        <v>46199</v>
      </c>
      <c r="B82" s="65" t="inlineStr">
        <is>
          <t>V-0073</t>
        </is>
      </c>
      <c r="C82" s="65" t="inlineStr">
        <is>
          <t>Transfer Out</t>
        </is>
      </c>
      <c r="F82" s="65" t="inlineStr">
        <is>
          <t>UPI</t>
        </is>
      </c>
      <c r="G82" s="67" t="n">
        <v>102000</v>
      </c>
      <c r="H82" s="65" t="inlineStr">
        <is>
          <t>UPI deposited to Bank</t>
        </is>
      </c>
    </row>
    <row r="83">
      <c r="A83" s="64" t="n">
        <v>46199</v>
      </c>
      <c r="B83" s="65" t="inlineStr">
        <is>
          <t>V-0073</t>
        </is>
      </c>
      <c r="C83" s="65" t="inlineStr">
        <is>
          <t>Transfer In</t>
        </is>
      </c>
      <c r="F83" s="65" t="inlineStr">
        <is>
          <t>Bank</t>
        </is>
      </c>
      <c r="G83" s="67" t="n">
        <v>102000</v>
      </c>
      <c r="H83" s="65" t="inlineStr">
        <is>
          <t>UPI deposited to Bank</t>
        </is>
      </c>
    </row>
    <row r="84">
      <c r="A84" s="64" t="n">
        <v>46208</v>
      </c>
      <c r="B84" s="65" t="inlineStr">
        <is>
          <t>V-0074</t>
        </is>
      </c>
      <c r="C84" s="65" t="inlineStr">
        <is>
          <t>Expense</t>
        </is>
      </c>
      <c r="E84" s="65" t="inlineStr">
        <is>
          <t>Rent</t>
        </is>
      </c>
      <c r="F84" s="65" t="inlineStr">
        <is>
          <t>Bank</t>
        </is>
      </c>
      <c r="G84" s="67" t="n">
        <v>18000</v>
      </c>
    </row>
    <row r="85">
      <c r="A85" s="64" t="n">
        <v>46208</v>
      </c>
      <c r="B85" s="65" t="inlineStr">
        <is>
          <t>V-0075</t>
        </is>
      </c>
      <c r="C85" s="65" t="inlineStr">
        <is>
          <t>Expense</t>
        </is>
      </c>
      <c r="E85" s="65" t="inlineStr">
        <is>
          <t>Salary</t>
        </is>
      </c>
      <c r="F85" s="65" t="inlineStr">
        <is>
          <t>Bank</t>
        </is>
      </c>
      <c r="G85" s="67" t="n">
        <v>26000</v>
      </c>
    </row>
    <row r="86">
      <c r="A86" s="64" t="n">
        <v>46208</v>
      </c>
      <c r="B86" s="65" t="inlineStr">
        <is>
          <t>V-0076</t>
        </is>
      </c>
      <c r="C86" s="65" t="inlineStr">
        <is>
          <t>Expense</t>
        </is>
      </c>
      <c r="E86" s="65" t="inlineStr">
        <is>
          <t>Electricity</t>
        </is>
      </c>
      <c r="F86" s="65" t="inlineStr">
        <is>
          <t>UPI</t>
        </is>
      </c>
      <c r="G86" s="67" t="n">
        <v>4984</v>
      </c>
    </row>
    <row r="87">
      <c r="A87" s="64" t="n">
        <v>46208</v>
      </c>
      <c r="B87" s="65" t="inlineStr">
        <is>
          <t>V-0077</t>
        </is>
      </c>
      <c r="C87" s="65" t="inlineStr">
        <is>
          <t>Expense</t>
        </is>
      </c>
      <c r="E87" s="65" t="inlineStr">
        <is>
          <t>Transport / Freight</t>
        </is>
      </c>
      <c r="F87" s="65" t="inlineStr">
        <is>
          <t>Cash</t>
        </is>
      </c>
      <c r="G87" s="67" t="n">
        <v>7350</v>
      </c>
    </row>
    <row r="88">
      <c r="A88" s="64" t="n">
        <v>46208</v>
      </c>
      <c r="B88" s="65" t="inlineStr">
        <is>
          <t>V-0078</t>
        </is>
      </c>
      <c r="C88" s="65" t="inlineStr">
        <is>
          <t>Expense</t>
        </is>
      </c>
      <c r="E88" s="65" t="inlineStr">
        <is>
          <t>Telephone / Internet</t>
        </is>
      </c>
      <c r="F88" s="65" t="inlineStr">
        <is>
          <t>UPI</t>
        </is>
      </c>
      <c r="G88" s="67" t="n">
        <v>1199</v>
      </c>
    </row>
    <row r="89">
      <c r="A89" s="64" t="n">
        <v>46213</v>
      </c>
      <c r="B89" s="65" t="inlineStr">
        <is>
          <t>V-0079</t>
        </is>
      </c>
      <c r="C89" s="65" t="inlineStr">
        <is>
          <t>Receipt</t>
        </is>
      </c>
      <c r="D89" s="65" t="inlineStr">
        <is>
          <t>Sharma Kirana Store</t>
        </is>
      </c>
      <c r="F89" s="65" t="inlineStr">
        <is>
          <t>UPI</t>
        </is>
      </c>
      <c r="G89" s="67" t="n">
        <v>20600</v>
      </c>
      <c r="H89" s="65" t="inlineStr">
        <is>
          <t>NEFT/UPI</t>
        </is>
      </c>
    </row>
    <row r="90">
      <c r="A90" s="64" t="n">
        <v>46213</v>
      </c>
      <c r="B90" s="65" t="inlineStr">
        <is>
          <t>V-0080</t>
        </is>
      </c>
      <c r="C90" s="65" t="inlineStr">
        <is>
          <t>Receipt</t>
        </is>
      </c>
      <c r="D90" s="65" t="inlineStr">
        <is>
          <t>Gupta Electricals</t>
        </is>
      </c>
      <c r="F90" s="65" t="inlineStr">
        <is>
          <t>Bank</t>
        </is>
      </c>
      <c r="G90" s="67" t="n">
        <v>12100</v>
      </c>
      <c r="H90" s="65" t="inlineStr">
        <is>
          <t>NEFT/UPI</t>
        </is>
      </c>
    </row>
    <row r="91">
      <c r="A91" s="64" t="n">
        <v>46213</v>
      </c>
      <c r="B91" s="65" t="inlineStr">
        <is>
          <t>V-0081</t>
        </is>
      </c>
      <c r="C91" s="65" t="inlineStr">
        <is>
          <t>Receipt</t>
        </is>
      </c>
      <c r="D91" s="65" t="inlineStr">
        <is>
          <t>Delhi Hardware Mart</t>
        </is>
      </c>
      <c r="F91" s="65" t="inlineStr">
        <is>
          <t>UPI</t>
        </is>
      </c>
      <c r="G91" s="67" t="n">
        <v>11700</v>
      </c>
      <c r="H91" s="65" t="inlineStr">
        <is>
          <t>NEFT/UPI</t>
        </is>
      </c>
    </row>
    <row r="92">
      <c r="A92" s="64" t="n">
        <v>46213</v>
      </c>
      <c r="B92" s="65" t="inlineStr">
        <is>
          <t>V-0082</t>
        </is>
      </c>
      <c r="C92" s="65" t="inlineStr">
        <is>
          <t>Receipt</t>
        </is>
      </c>
      <c r="D92" s="65" t="inlineStr">
        <is>
          <t>Mehta Constructions</t>
        </is>
      </c>
      <c r="F92" s="65" t="inlineStr">
        <is>
          <t>UPI</t>
        </is>
      </c>
      <c r="G92" s="67" t="n">
        <v>12900</v>
      </c>
      <c r="H92" s="65" t="inlineStr">
        <is>
          <t>NEFT/UPI</t>
        </is>
      </c>
    </row>
    <row r="93">
      <c r="A93" s="64" t="n">
        <v>46213</v>
      </c>
      <c r="B93" s="65" t="inlineStr">
        <is>
          <t>V-0083</t>
        </is>
      </c>
      <c r="C93" s="65" t="inlineStr">
        <is>
          <t>Receipt</t>
        </is>
      </c>
      <c r="D93" s="65" t="inlineStr">
        <is>
          <t>FMCG Distributors</t>
        </is>
      </c>
      <c r="F93" s="65" t="inlineStr">
        <is>
          <t>Bank</t>
        </is>
      </c>
      <c r="G93" s="67" t="n">
        <v>12600</v>
      </c>
      <c r="H93" s="65" t="inlineStr">
        <is>
          <t>NEFT/UPI</t>
        </is>
      </c>
    </row>
    <row r="94">
      <c r="A94" s="64" t="n">
        <v>46213</v>
      </c>
      <c r="B94" s="65" t="inlineStr">
        <is>
          <t>V-0084</t>
        </is>
      </c>
      <c r="C94" s="65" t="inlineStr">
        <is>
          <t>Payment</t>
        </is>
      </c>
      <c r="D94" s="65" t="inlineStr">
        <is>
          <t>Agro Foods Pvt Ltd</t>
        </is>
      </c>
      <c r="F94" s="65" t="inlineStr">
        <is>
          <t>Bank</t>
        </is>
      </c>
      <c r="G94" s="67" t="n">
        <v>1000</v>
      </c>
      <c r="H94" s="65" t="inlineStr">
        <is>
          <t>RTGS</t>
        </is>
      </c>
    </row>
    <row r="95">
      <c r="A95" s="64" t="n">
        <v>46213</v>
      </c>
      <c r="B95" s="65" t="inlineStr">
        <is>
          <t>V-0085</t>
        </is>
      </c>
      <c r="C95" s="65" t="inlineStr">
        <is>
          <t>Payment</t>
        </is>
      </c>
      <c r="D95" s="65" t="inlineStr">
        <is>
          <t>Bharat Electric Co</t>
        </is>
      </c>
      <c r="F95" s="65" t="inlineStr">
        <is>
          <t>Bank</t>
        </is>
      </c>
      <c r="G95" s="67" t="n">
        <v>56000</v>
      </c>
      <c r="H95" s="65" t="inlineStr">
        <is>
          <t>RTGS</t>
        </is>
      </c>
    </row>
    <row r="96">
      <c r="A96" s="64" t="n">
        <v>46213</v>
      </c>
      <c r="B96" s="65" t="inlineStr">
        <is>
          <t>V-0086</t>
        </is>
      </c>
      <c r="C96" s="65" t="inlineStr">
        <is>
          <t>Payment</t>
        </is>
      </c>
      <c r="D96" s="65" t="inlineStr">
        <is>
          <t>FMCG Distributors</t>
        </is>
      </c>
      <c r="F96" s="65" t="inlineStr">
        <is>
          <t>Bank</t>
        </is>
      </c>
      <c r="G96" s="67" t="n">
        <v>38000</v>
      </c>
      <c r="H96" s="65" t="inlineStr">
        <is>
          <t>RTGS</t>
        </is>
      </c>
    </row>
    <row r="97">
      <c r="A97" s="64" t="n">
        <v>46213</v>
      </c>
      <c r="B97" s="65" t="inlineStr">
        <is>
          <t>V-0087</t>
        </is>
      </c>
      <c r="C97" s="65" t="inlineStr">
        <is>
          <t>Payment</t>
        </is>
      </c>
      <c r="D97" s="65" t="inlineStr">
        <is>
          <t>National Hardware Supply</t>
        </is>
      </c>
      <c r="F97" s="65" t="inlineStr">
        <is>
          <t>Bank</t>
        </is>
      </c>
      <c r="G97" s="67" t="n">
        <v>102000</v>
      </c>
      <c r="H97" s="65" t="inlineStr">
        <is>
          <t>RTGS</t>
        </is>
      </c>
    </row>
    <row r="98">
      <c r="A98" s="64" t="n">
        <v>46228</v>
      </c>
      <c r="B98" s="65" t="inlineStr">
        <is>
          <t>V-0088</t>
        </is>
      </c>
      <c r="C98" s="65" t="inlineStr">
        <is>
          <t>Receipt</t>
        </is>
      </c>
      <c r="D98" s="65" t="inlineStr">
        <is>
          <t>Sharma Kirana Store</t>
        </is>
      </c>
      <c r="F98" s="65" t="inlineStr">
        <is>
          <t>UPI</t>
        </is>
      </c>
      <c r="G98" s="67" t="n">
        <v>11600</v>
      </c>
      <c r="H98" s="65" t="inlineStr">
        <is>
          <t>NEFT/UPI</t>
        </is>
      </c>
    </row>
    <row r="99">
      <c r="A99" s="64" t="n">
        <v>46228</v>
      </c>
      <c r="B99" s="65" t="inlineStr">
        <is>
          <t>V-0089</t>
        </is>
      </c>
      <c r="C99" s="65" t="inlineStr">
        <is>
          <t>Receipt</t>
        </is>
      </c>
      <c r="D99" s="65" t="inlineStr">
        <is>
          <t>Gupta Electricals</t>
        </is>
      </c>
      <c r="F99" s="65" t="inlineStr">
        <is>
          <t>UPI</t>
        </is>
      </c>
      <c r="G99" s="67" t="n">
        <v>13400</v>
      </c>
      <c r="H99" s="65" t="inlineStr">
        <is>
          <t>NEFT/UPI</t>
        </is>
      </c>
    </row>
    <row r="100">
      <c r="A100" s="64" t="n">
        <v>46228</v>
      </c>
      <c r="B100" s="65" t="inlineStr">
        <is>
          <t>V-0090</t>
        </is>
      </c>
      <c r="C100" s="65" t="inlineStr">
        <is>
          <t>Receipt</t>
        </is>
      </c>
      <c r="D100" s="65" t="inlineStr">
        <is>
          <t>Delhi Hardware Mart</t>
        </is>
      </c>
      <c r="F100" s="65" t="inlineStr">
        <is>
          <t>Bank</t>
        </is>
      </c>
      <c r="G100" s="67" t="n">
        <v>11400</v>
      </c>
      <c r="H100" s="65" t="inlineStr">
        <is>
          <t>NEFT/UPI</t>
        </is>
      </c>
    </row>
    <row r="101">
      <c r="A101" s="64" t="n">
        <v>46228</v>
      </c>
      <c r="B101" s="65" t="inlineStr">
        <is>
          <t>V-0091</t>
        </is>
      </c>
      <c r="C101" s="65" t="inlineStr">
        <is>
          <t>Receipt</t>
        </is>
      </c>
      <c r="D101" s="65" t="inlineStr">
        <is>
          <t>Mehta Constructions</t>
        </is>
      </c>
      <c r="F101" s="65" t="inlineStr">
        <is>
          <t>UPI</t>
        </is>
      </c>
      <c r="G101" s="67" t="n">
        <v>20200</v>
      </c>
      <c r="H101" s="65" t="inlineStr">
        <is>
          <t>NEFT/UPI</t>
        </is>
      </c>
    </row>
    <row r="102">
      <c r="A102" s="64" t="n">
        <v>46228</v>
      </c>
      <c r="B102" s="65" t="inlineStr">
        <is>
          <t>V-0092</t>
        </is>
      </c>
      <c r="C102" s="65" t="inlineStr">
        <is>
          <t>Receipt</t>
        </is>
      </c>
      <c r="D102" s="65" t="inlineStr">
        <is>
          <t>FMCG Distributors</t>
        </is>
      </c>
      <c r="F102" s="65" t="inlineStr">
        <is>
          <t>UPI</t>
        </is>
      </c>
      <c r="G102" s="67" t="n">
        <v>14600</v>
      </c>
      <c r="H102" s="65" t="inlineStr">
        <is>
          <t>NEFT/UPI</t>
        </is>
      </c>
    </row>
    <row r="103">
      <c r="A103" s="64" t="n">
        <v>46228</v>
      </c>
      <c r="B103" s="65" t="inlineStr">
        <is>
          <t>V-0093</t>
        </is>
      </c>
      <c r="C103" s="65" t="inlineStr">
        <is>
          <t>Payment</t>
        </is>
      </c>
      <c r="D103" s="65" t="inlineStr">
        <is>
          <t>Agro Foods Pvt Ltd</t>
        </is>
      </c>
      <c r="F103" s="65" t="inlineStr">
        <is>
          <t>Bank</t>
        </is>
      </c>
      <c r="G103" s="67" t="n">
        <v>1000</v>
      </c>
      <c r="H103" s="65" t="inlineStr">
        <is>
          <t>RTGS</t>
        </is>
      </c>
    </row>
    <row r="104">
      <c r="A104" s="64" t="n">
        <v>46228</v>
      </c>
      <c r="B104" s="65" t="inlineStr">
        <is>
          <t>V-0094</t>
        </is>
      </c>
      <c r="C104" s="65" t="inlineStr">
        <is>
          <t>Payment</t>
        </is>
      </c>
      <c r="D104" s="65" t="inlineStr">
        <is>
          <t>Bharat Electric Co</t>
        </is>
      </c>
      <c r="F104" s="65" t="inlineStr">
        <is>
          <t>Bank</t>
        </is>
      </c>
      <c r="G104" s="67" t="n">
        <v>10000</v>
      </c>
      <c r="H104" s="65" t="inlineStr">
        <is>
          <t>RTGS</t>
        </is>
      </c>
    </row>
    <row r="105">
      <c r="A105" s="64" t="n">
        <v>46228</v>
      </c>
      <c r="B105" s="65" t="inlineStr">
        <is>
          <t>V-0095</t>
        </is>
      </c>
      <c r="C105" s="65" t="inlineStr">
        <is>
          <t>Payment</t>
        </is>
      </c>
      <c r="D105" s="65" t="inlineStr">
        <is>
          <t>FMCG Distributors</t>
        </is>
      </c>
      <c r="F105" s="65" t="inlineStr">
        <is>
          <t>Bank</t>
        </is>
      </c>
      <c r="G105" s="67" t="n">
        <v>7000</v>
      </c>
      <c r="H105" s="65" t="inlineStr">
        <is>
          <t>RTGS</t>
        </is>
      </c>
    </row>
    <row r="106">
      <c r="A106" s="64" t="n">
        <v>46228</v>
      </c>
      <c r="B106" s="65" t="inlineStr">
        <is>
          <t>V-0096</t>
        </is>
      </c>
      <c r="C106" s="65" t="inlineStr">
        <is>
          <t>Payment</t>
        </is>
      </c>
      <c r="D106" s="65" t="inlineStr">
        <is>
          <t>National Hardware Supply</t>
        </is>
      </c>
      <c r="F106" s="65" t="inlineStr">
        <is>
          <t>Bank</t>
        </is>
      </c>
      <c r="G106" s="67" t="n">
        <v>13000</v>
      </c>
      <c r="H106" s="65" t="inlineStr">
        <is>
          <t>RTGS</t>
        </is>
      </c>
    </row>
    <row r="107">
      <c r="A107" s="64" t="n">
        <v>46229</v>
      </c>
      <c r="B107" s="65" t="inlineStr">
        <is>
          <t>V-0097</t>
        </is>
      </c>
      <c r="C107" s="65" t="inlineStr">
        <is>
          <t>Transfer Out</t>
        </is>
      </c>
      <c r="F107" s="65" t="inlineStr">
        <is>
          <t>Cash</t>
        </is>
      </c>
      <c r="G107" s="67" t="n">
        <v>103000</v>
      </c>
      <c r="H107" s="65" t="inlineStr">
        <is>
          <t>Cash deposited to Bank</t>
        </is>
      </c>
    </row>
    <row r="108">
      <c r="A108" s="64" t="n">
        <v>46229</v>
      </c>
      <c r="B108" s="65" t="inlineStr">
        <is>
          <t>V-0097</t>
        </is>
      </c>
      <c r="C108" s="65" t="inlineStr">
        <is>
          <t>Transfer In</t>
        </is>
      </c>
      <c r="F108" s="65" t="inlineStr">
        <is>
          <t>Bank</t>
        </is>
      </c>
      <c r="G108" s="67" t="n">
        <v>103000</v>
      </c>
      <c r="H108" s="65" t="inlineStr">
        <is>
          <t>Cash deposited to Bank</t>
        </is>
      </c>
    </row>
    <row r="109">
      <c r="A109" s="64" t="n">
        <v>46229</v>
      </c>
      <c r="B109" s="65" t="inlineStr">
        <is>
          <t>V-0098</t>
        </is>
      </c>
      <c r="C109" s="65" t="inlineStr">
        <is>
          <t>Transfer Out</t>
        </is>
      </c>
      <c r="F109" s="65" t="inlineStr">
        <is>
          <t>UPI</t>
        </is>
      </c>
      <c r="G109" s="67" t="n">
        <v>122000</v>
      </c>
      <c r="H109" s="65" t="inlineStr">
        <is>
          <t>UPI deposited to Bank</t>
        </is>
      </c>
    </row>
    <row r="110">
      <c r="A110" s="64" t="n">
        <v>46229</v>
      </c>
      <c r="B110" s="65" t="inlineStr">
        <is>
          <t>V-0098</t>
        </is>
      </c>
      <c r="C110" s="65" t="inlineStr">
        <is>
          <t>Transfer In</t>
        </is>
      </c>
      <c r="F110" s="65" t="inlineStr">
        <is>
          <t>Bank</t>
        </is>
      </c>
      <c r="G110" s="67" t="n">
        <v>122000</v>
      </c>
      <c r="H110" s="65" t="inlineStr">
        <is>
          <t>UPI deposited to Bank</t>
        </is>
      </c>
    </row>
    <row r="111">
      <c r="A111" s="64" t="n">
        <v>46235</v>
      </c>
      <c r="B111" s="65" t="inlineStr">
        <is>
          <t>V-9002</t>
        </is>
      </c>
      <c r="C111" s="65" t="inlineStr">
        <is>
          <t>Other Income</t>
        </is>
      </c>
      <c r="E111" s="65" t="inlineStr">
        <is>
          <t>Misc</t>
        </is>
      </c>
      <c r="F111" s="65" t="inlineStr">
        <is>
          <t>Bank</t>
        </is>
      </c>
      <c r="G111" s="67" t="n">
        <v>1500</v>
      </c>
      <c r="H111" s="65" t="inlineStr">
        <is>
          <t>Scheme incentive</t>
        </is>
      </c>
    </row>
    <row r="112">
      <c r="A112" s="64" t="n">
        <v>46239</v>
      </c>
      <c r="B112" s="65" t="inlineStr">
        <is>
          <t>V-0099</t>
        </is>
      </c>
      <c r="C112" s="65" t="inlineStr">
        <is>
          <t>Expense</t>
        </is>
      </c>
      <c r="E112" s="65" t="inlineStr">
        <is>
          <t>Rent</t>
        </is>
      </c>
      <c r="F112" s="65" t="inlineStr">
        <is>
          <t>Bank</t>
        </is>
      </c>
      <c r="G112" s="67" t="n">
        <v>18000</v>
      </c>
    </row>
    <row r="113">
      <c r="A113" s="64" t="n">
        <v>46239</v>
      </c>
      <c r="B113" s="65" t="inlineStr">
        <is>
          <t>V-0100</t>
        </is>
      </c>
      <c r="C113" s="65" t="inlineStr">
        <is>
          <t>Expense</t>
        </is>
      </c>
      <c r="E113" s="65" t="inlineStr">
        <is>
          <t>Salary</t>
        </is>
      </c>
      <c r="F113" s="65" t="inlineStr">
        <is>
          <t>Bank</t>
        </is>
      </c>
      <c r="G113" s="67" t="n">
        <v>26000</v>
      </c>
    </row>
    <row r="114">
      <c r="A114" s="64" t="n">
        <v>46239</v>
      </c>
      <c r="B114" s="65" t="inlineStr">
        <is>
          <t>V-0101</t>
        </is>
      </c>
      <c r="C114" s="65" t="inlineStr">
        <is>
          <t>Expense</t>
        </is>
      </c>
      <c r="E114" s="65" t="inlineStr">
        <is>
          <t>Electricity</t>
        </is>
      </c>
      <c r="F114" s="65" t="inlineStr">
        <is>
          <t>UPI</t>
        </is>
      </c>
      <c r="G114" s="67" t="n">
        <v>4688</v>
      </c>
    </row>
    <row r="115">
      <c r="A115" s="64" t="n">
        <v>46239</v>
      </c>
      <c r="B115" s="65" t="inlineStr">
        <is>
          <t>V-0102</t>
        </is>
      </c>
      <c r="C115" s="65" t="inlineStr">
        <is>
          <t>Expense</t>
        </is>
      </c>
      <c r="E115" s="65" t="inlineStr">
        <is>
          <t>Transport / Freight</t>
        </is>
      </c>
      <c r="F115" s="65" t="inlineStr">
        <is>
          <t>Cash</t>
        </is>
      </c>
      <c r="G115" s="67" t="n">
        <v>7289</v>
      </c>
    </row>
    <row r="116">
      <c r="A116" s="64" t="n">
        <v>46239</v>
      </c>
      <c r="B116" s="65" t="inlineStr">
        <is>
          <t>V-0103</t>
        </is>
      </c>
      <c r="C116" s="65" t="inlineStr">
        <is>
          <t>Expense</t>
        </is>
      </c>
      <c r="E116" s="65" t="inlineStr">
        <is>
          <t>Telephone / Internet</t>
        </is>
      </c>
      <c r="F116" s="65" t="inlineStr">
        <is>
          <t>UPI</t>
        </is>
      </c>
      <c r="G116" s="67" t="n">
        <v>1199</v>
      </c>
    </row>
    <row r="117">
      <c r="A117" s="64" t="n">
        <v>46244</v>
      </c>
      <c r="B117" s="65" t="inlineStr">
        <is>
          <t>V-0104</t>
        </is>
      </c>
      <c r="C117" s="65" t="inlineStr">
        <is>
          <t>Receipt</t>
        </is>
      </c>
      <c r="D117" s="65" t="inlineStr">
        <is>
          <t>Sharma Kirana Store</t>
        </is>
      </c>
      <c r="F117" s="65" t="inlineStr">
        <is>
          <t>Bank</t>
        </is>
      </c>
      <c r="G117" s="67" t="n">
        <v>16500</v>
      </c>
      <c r="H117" s="65" t="inlineStr">
        <is>
          <t>NEFT/UPI</t>
        </is>
      </c>
    </row>
    <row r="118">
      <c r="A118" s="64" t="n">
        <v>46244</v>
      </c>
      <c r="B118" s="65" t="inlineStr">
        <is>
          <t>V-0105</t>
        </is>
      </c>
      <c r="C118" s="65" t="inlineStr">
        <is>
          <t>Receipt</t>
        </is>
      </c>
      <c r="D118" s="65" t="inlineStr">
        <is>
          <t>Gupta Electricals</t>
        </is>
      </c>
      <c r="F118" s="65" t="inlineStr">
        <is>
          <t>UPI</t>
        </is>
      </c>
      <c r="G118" s="67" t="n">
        <v>20000</v>
      </c>
      <c r="H118" s="65" t="inlineStr">
        <is>
          <t>NEFT/UPI</t>
        </is>
      </c>
    </row>
    <row r="119">
      <c r="A119" s="64" t="n">
        <v>46244</v>
      </c>
      <c r="B119" s="65" t="inlineStr">
        <is>
          <t>V-0106</t>
        </is>
      </c>
      <c r="C119" s="65" t="inlineStr">
        <is>
          <t>Receipt</t>
        </is>
      </c>
      <c r="D119" s="65" t="inlineStr">
        <is>
          <t>Delhi Hardware Mart</t>
        </is>
      </c>
      <c r="F119" s="65" t="inlineStr">
        <is>
          <t>Bank</t>
        </is>
      </c>
      <c r="G119" s="67" t="n">
        <v>8700</v>
      </c>
      <c r="H119" s="65" t="inlineStr">
        <is>
          <t>NEFT/UPI</t>
        </is>
      </c>
    </row>
    <row r="120">
      <c r="A120" s="64" t="n">
        <v>46244</v>
      </c>
      <c r="B120" s="65" t="inlineStr">
        <is>
          <t>V-0107</t>
        </is>
      </c>
      <c r="C120" s="65" t="inlineStr">
        <is>
          <t>Receipt</t>
        </is>
      </c>
      <c r="D120" s="65" t="inlineStr">
        <is>
          <t>Mehta Constructions</t>
        </is>
      </c>
      <c r="F120" s="65" t="inlineStr">
        <is>
          <t>UPI</t>
        </is>
      </c>
      <c r="G120" s="67" t="n">
        <v>11100</v>
      </c>
      <c r="H120" s="65" t="inlineStr">
        <is>
          <t>NEFT/UPI</t>
        </is>
      </c>
    </row>
    <row r="121">
      <c r="A121" s="64" t="n">
        <v>46244</v>
      </c>
      <c r="B121" s="65" t="inlineStr">
        <is>
          <t>V-0108</t>
        </is>
      </c>
      <c r="C121" s="65" t="inlineStr">
        <is>
          <t>Receipt</t>
        </is>
      </c>
      <c r="D121" s="65" t="inlineStr">
        <is>
          <t>FMCG Distributors</t>
        </is>
      </c>
      <c r="F121" s="65" t="inlineStr">
        <is>
          <t>Bank</t>
        </is>
      </c>
      <c r="G121" s="67" t="n">
        <v>14000</v>
      </c>
      <c r="H121" s="65" t="inlineStr">
        <is>
          <t>NEFT/UPI</t>
        </is>
      </c>
    </row>
    <row r="122">
      <c r="A122" s="64" t="n">
        <v>46244</v>
      </c>
      <c r="B122" s="65" t="inlineStr">
        <is>
          <t>V-0109</t>
        </is>
      </c>
      <c r="C122" s="65" t="inlineStr">
        <is>
          <t>Payment</t>
        </is>
      </c>
      <c r="D122" s="65" t="inlineStr">
        <is>
          <t>Agro Foods Pvt Ltd</t>
        </is>
      </c>
      <c r="F122" s="65" t="inlineStr">
        <is>
          <t>Bank</t>
        </is>
      </c>
      <c r="G122" s="67" t="n">
        <v>34000</v>
      </c>
      <c r="H122" s="65" t="inlineStr">
        <is>
          <t>RTGS</t>
        </is>
      </c>
    </row>
    <row r="123">
      <c r="A123" s="64" t="n">
        <v>46244</v>
      </c>
      <c r="B123" s="65" t="inlineStr">
        <is>
          <t>V-0110</t>
        </is>
      </c>
      <c r="C123" s="65" t="inlineStr">
        <is>
          <t>Payment</t>
        </is>
      </c>
      <c r="D123" s="65" t="inlineStr">
        <is>
          <t>Bharat Electric Co</t>
        </is>
      </c>
      <c r="F123" s="65" t="inlineStr">
        <is>
          <t>Bank</t>
        </is>
      </c>
      <c r="G123" s="67" t="n">
        <v>5000</v>
      </c>
      <c r="H123" s="65" t="inlineStr">
        <is>
          <t>RTGS</t>
        </is>
      </c>
    </row>
    <row r="124">
      <c r="A124" s="64" t="n">
        <v>46244</v>
      </c>
      <c r="B124" s="65" t="inlineStr">
        <is>
          <t>V-0111</t>
        </is>
      </c>
      <c r="C124" s="65" t="inlineStr">
        <is>
          <t>Payment</t>
        </is>
      </c>
      <c r="D124" s="65" t="inlineStr">
        <is>
          <t>FMCG Distributors</t>
        </is>
      </c>
      <c r="F124" s="65" t="inlineStr">
        <is>
          <t>Bank</t>
        </is>
      </c>
      <c r="G124" s="67" t="n">
        <v>29000</v>
      </c>
      <c r="H124" s="65" t="inlineStr">
        <is>
          <t>RTGS</t>
        </is>
      </c>
    </row>
    <row r="125">
      <c r="A125" s="64" t="n">
        <v>46244</v>
      </c>
      <c r="B125" s="65" t="inlineStr">
        <is>
          <t>V-0112</t>
        </is>
      </c>
      <c r="C125" s="65" t="inlineStr">
        <is>
          <t>Payment</t>
        </is>
      </c>
      <c r="D125" s="65" t="inlineStr">
        <is>
          <t>National Hardware Supply</t>
        </is>
      </c>
      <c r="F125" s="65" t="inlineStr">
        <is>
          <t>Bank</t>
        </is>
      </c>
      <c r="G125" s="67" t="n">
        <v>25000</v>
      </c>
      <c r="H125" s="65" t="inlineStr">
        <is>
          <t>RTGS</t>
        </is>
      </c>
    </row>
    <row r="126">
      <c r="A126" s="64" t="n">
        <v>46259</v>
      </c>
      <c r="B126" s="65" t="inlineStr">
        <is>
          <t>V-0113</t>
        </is>
      </c>
      <c r="C126" s="65" t="inlineStr">
        <is>
          <t>Receipt</t>
        </is>
      </c>
      <c r="D126" s="65" t="inlineStr">
        <is>
          <t>Sharma Kirana Store</t>
        </is>
      </c>
      <c r="F126" s="65" t="inlineStr">
        <is>
          <t>Bank</t>
        </is>
      </c>
      <c r="G126" s="67" t="n">
        <v>15700</v>
      </c>
      <c r="H126" s="65" t="inlineStr">
        <is>
          <t>NEFT/UPI</t>
        </is>
      </c>
    </row>
    <row r="127">
      <c r="A127" s="64" t="n">
        <v>46259</v>
      </c>
      <c r="B127" s="65" t="inlineStr">
        <is>
          <t>V-0114</t>
        </is>
      </c>
      <c r="C127" s="65" t="inlineStr">
        <is>
          <t>Receipt</t>
        </is>
      </c>
      <c r="D127" s="65" t="inlineStr">
        <is>
          <t>Gupta Electricals</t>
        </is>
      </c>
      <c r="F127" s="65" t="inlineStr">
        <is>
          <t>UPI</t>
        </is>
      </c>
      <c r="G127" s="67" t="n">
        <v>11600</v>
      </c>
      <c r="H127" s="65" t="inlineStr">
        <is>
          <t>NEFT/UPI</t>
        </is>
      </c>
    </row>
    <row r="128">
      <c r="A128" s="64" t="n">
        <v>46259</v>
      </c>
      <c r="B128" s="65" t="inlineStr">
        <is>
          <t>V-0115</t>
        </is>
      </c>
      <c r="C128" s="65" t="inlineStr">
        <is>
          <t>Receipt</t>
        </is>
      </c>
      <c r="D128" s="65" t="inlineStr">
        <is>
          <t>Delhi Hardware Mart</t>
        </is>
      </c>
      <c r="F128" s="65" t="inlineStr">
        <is>
          <t>UPI</t>
        </is>
      </c>
      <c r="G128" s="67" t="n">
        <v>8100</v>
      </c>
      <c r="H128" s="65" t="inlineStr">
        <is>
          <t>NEFT/UPI</t>
        </is>
      </c>
    </row>
    <row r="129">
      <c r="A129" s="64" t="n">
        <v>46259</v>
      </c>
      <c r="B129" s="65" t="inlineStr">
        <is>
          <t>V-0116</t>
        </is>
      </c>
      <c r="C129" s="65" t="inlineStr">
        <is>
          <t>Receipt</t>
        </is>
      </c>
      <c r="D129" s="65" t="inlineStr">
        <is>
          <t>Mehta Constructions</t>
        </is>
      </c>
      <c r="F129" s="65" t="inlineStr">
        <is>
          <t>Bank</t>
        </is>
      </c>
      <c r="G129" s="67" t="n">
        <v>7800</v>
      </c>
      <c r="H129" s="65" t="inlineStr">
        <is>
          <t>NEFT/UPI</t>
        </is>
      </c>
    </row>
    <row r="130">
      <c r="A130" s="64" t="n">
        <v>46259</v>
      </c>
      <c r="B130" s="65" t="inlineStr">
        <is>
          <t>V-0117</t>
        </is>
      </c>
      <c r="C130" s="65" t="inlineStr">
        <is>
          <t>Receipt</t>
        </is>
      </c>
      <c r="D130" s="65" t="inlineStr">
        <is>
          <t>FMCG Distributors</t>
        </is>
      </c>
      <c r="F130" s="65" t="inlineStr">
        <is>
          <t>Bank</t>
        </is>
      </c>
      <c r="G130" s="67" t="n">
        <v>17700</v>
      </c>
      <c r="H130" s="65" t="inlineStr">
        <is>
          <t>NEFT/UPI</t>
        </is>
      </c>
    </row>
    <row r="131">
      <c r="A131" s="64" t="n">
        <v>46259</v>
      </c>
      <c r="B131" s="65" t="inlineStr">
        <is>
          <t>V-0118</t>
        </is>
      </c>
      <c r="C131" s="65" t="inlineStr">
        <is>
          <t>Payment</t>
        </is>
      </c>
      <c r="D131" s="65" t="inlineStr">
        <is>
          <t>Agro Foods Pvt Ltd</t>
        </is>
      </c>
      <c r="F131" s="65" t="inlineStr">
        <is>
          <t>Bank</t>
        </is>
      </c>
      <c r="G131" s="67" t="n">
        <v>7000</v>
      </c>
      <c r="H131" s="65" t="inlineStr">
        <is>
          <t>RTGS</t>
        </is>
      </c>
    </row>
    <row r="132">
      <c r="A132" s="64" t="n">
        <v>46259</v>
      </c>
      <c r="B132" s="65" t="inlineStr">
        <is>
          <t>V-0119</t>
        </is>
      </c>
      <c r="C132" s="65" t="inlineStr">
        <is>
          <t>Payment</t>
        </is>
      </c>
      <c r="D132" s="65" t="inlineStr">
        <is>
          <t>Bharat Electric Co</t>
        </is>
      </c>
      <c r="F132" s="65" t="inlineStr">
        <is>
          <t>Bank</t>
        </is>
      </c>
      <c r="G132" s="67" t="n">
        <v>1000</v>
      </c>
      <c r="H132" s="65" t="inlineStr">
        <is>
          <t>RTGS</t>
        </is>
      </c>
    </row>
    <row r="133">
      <c r="A133" s="64" t="n">
        <v>46259</v>
      </c>
      <c r="B133" s="65" t="inlineStr">
        <is>
          <t>V-0120</t>
        </is>
      </c>
      <c r="C133" s="65" t="inlineStr">
        <is>
          <t>Payment</t>
        </is>
      </c>
      <c r="D133" s="65" t="inlineStr">
        <is>
          <t>FMCG Distributors</t>
        </is>
      </c>
      <c r="F133" s="65" t="inlineStr">
        <is>
          <t>Bank</t>
        </is>
      </c>
      <c r="G133" s="67" t="n">
        <v>6000</v>
      </c>
      <c r="H133" s="65" t="inlineStr">
        <is>
          <t>RTGS</t>
        </is>
      </c>
    </row>
    <row r="134">
      <c r="A134" s="64" t="n">
        <v>46259</v>
      </c>
      <c r="B134" s="65" t="inlineStr">
        <is>
          <t>V-0121</t>
        </is>
      </c>
      <c r="C134" s="65" t="inlineStr">
        <is>
          <t>Payment</t>
        </is>
      </c>
      <c r="D134" s="65" t="inlineStr">
        <is>
          <t>National Hardware Supply</t>
        </is>
      </c>
      <c r="F134" s="65" t="inlineStr">
        <is>
          <t>Bank</t>
        </is>
      </c>
      <c r="G134" s="67" t="n">
        <v>6000</v>
      </c>
      <c r="H134" s="65" t="inlineStr">
        <is>
          <t>RTGS</t>
        </is>
      </c>
    </row>
    <row r="135">
      <c r="A135" s="64" t="n">
        <v>46260</v>
      </c>
      <c r="B135" s="65" t="inlineStr">
        <is>
          <t>V-0122</t>
        </is>
      </c>
      <c r="C135" s="65" t="inlineStr">
        <is>
          <t>Transfer Out</t>
        </is>
      </c>
      <c r="F135" s="65" t="inlineStr">
        <is>
          <t>Cash</t>
        </is>
      </c>
      <c r="G135" s="67" t="n">
        <v>144000</v>
      </c>
      <c r="H135" s="65" t="inlineStr">
        <is>
          <t>Cash deposited to Bank</t>
        </is>
      </c>
    </row>
    <row r="136">
      <c r="A136" s="64" t="n">
        <v>46260</v>
      </c>
      <c r="B136" s="65" t="inlineStr">
        <is>
          <t>V-0122</t>
        </is>
      </c>
      <c r="C136" s="65" t="inlineStr">
        <is>
          <t>Transfer In</t>
        </is>
      </c>
      <c r="F136" s="65" t="inlineStr">
        <is>
          <t>Bank</t>
        </is>
      </c>
      <c r="G136" s="67" t="n">
        <v>144000</v>
      </c>
      <c r="H136" s="65" t="inlineStr">
        <is>
          <t>Cash deposited to Bank</t>
        </is>
      </c>
    </row>
    <row r="137">
      <c r="A137" s="64" t="n">
        <v>46260</v>
      </c>
      <c r="B137" s="65" t="inlineStr">
        <is>
          <t>V-0123</t>
        </is>
      </c>
      <c r="C137" s="65" t="inlineStr">
        <is>
          <t>Transfer Out</t>
        </is>
      </c>
      <c r="F137" s="65" t="inlineStr">
        <is>
          <t>UPI</t>
        </is>
      </c>
      <c r="G137" s="67" t="n">
        <v>87000</v>
      </c>
      <c r="H137" s="65" t="inlineStr">
        <is>
          <t>UPI deposited to Bank</t>
        </is>
      </c>
    </row>
    <row r="138">
      <c r="A138" s="64" t="n">
        <v>46260</v>
      </c>
      <c r="B138" s="65" t="inlineStr">
        <is>
          <t>V-0123</t>
        </is>
      </c>
      <c r="C138" s="65" t="inlineStr">
        <is>
          <t>Transfer In</t>
        </is>
      </c>
      <c r="F138" s="65" t="inlineStr">
        <is>
          <t>Bank</t>
        </is>
      </c>
      <c r="G138" s="67" t="n">
        <v>87000</v>
      </c>
      <c r="H138" s="65" t="inlineStr">
        <is>
          <t>UPI deposited to Bank</t>
        </is>
      </c>
    </row>
    <row r="139">
      <c r="A139" s="64" t="n">
        <v>46266</v>
      </c>
      <c r="B139" s="65" t="inlineStr">
        <is>
          <t>V-9003</t>
        </is>
      </c>
      <c r="C139" s="65" t="inlineStr">
        <is>
          <t>Drawings</t>
        </is>
      </c>
      <c r="F139" s="65" t="inlineStr">
        <is>
          <t>Bank</t>
        </is>
      </c>
      <c r="G139" s="67" t="n">
        <v>30000</v>
      </c>
      <c r="H139" s="65" t="inlineStr">
        <is>
          <t>Owner withdrawal</t>
        </is>
      </c>
    </row>
    <row r="140">
      <c r="A140" s="64" t="n">
        <v>46270</v>
      </c>
      <c r="B140" s="65" t="inlineStr">
        <is>
          <t>V-0124</t>
        </is>
      </c>
      <c r="C140" s="65" t="inlineStr">
        <is>
          <t>Expense</t>
        </is>
      </c>
      <c r="E140" s="65" t="inlineStr">
        <is>
          <t>Rent</t>
        </is>
      </c>
      <c r="F140" s="65" t="inlineStr">
        <is>
          <t>Bank</t>
        </is>
      </c>
      <c r="G140" s="67" t="n">
        <v>18000</v>
      </c>
    </row>
    <row r="141">
      <c r="A141" s="64" t="n">
        <v>46270</v>
      </c>
      <c r="B141" s="65" t="inlineStr">
        <is>
          <t>V-0125</t>
        </is>
      </c>
      <c r="C141" s="65" t="inlineStr">
        <is>
          <t>Expense</t>
        </is>
      </c>
      <c r="E141" s="65" t="inlineStr">
        <is>
          <t>Salary</t>
        </is>
      </c>
      <c r="F141" s="65" t="inlineStr">
        <is>
          <t>Bank</t>
        </is>
      </c>
      <c r="G141" s="67" t="n">
        <v>26000</v>
      </c>
    </row>
    <row r="142">
      <c r="A142" s="64" t="n">
        <v>46270</v>
      </c>
      <c r="B142" s="65" t="inlineStr">
        <is>
          <t>V-0126</t>
        </is>
      </c>
      <c r="C142" s="65" t="inlineStr">
        <is>
          <t>Expense</t>
        </is>
      </c>
      <c r="E142" s="65" t="inlineStr">
        <is>
          <t>Electricity</t>
        </is>
      </c>
      <c r="F142" s="65" t="inlineStr">
        <is>
          <t>UPI</t>
        </is>
      </c>
      <c r="G142" s="67" t="n">
        <v>3230</v>
      </c>
    </row>
    <row r="143">
      <c r="A143" s="64" t="n">
        <v>46270</v>
      </c>
      <c r="B143" s="65" t="inlineStr">
        <is>
          <t>V-0127</t>
        </is>
      </c>
      <c r="C143" s="65" t="inlineStr">
        <is>
          <t>Expense</t>
        </is>
      </c>
      <c r="E143" s="65" t="inlineStr">
        <is>
          <t>Transport / Freight</t>
        </is>
      </c>
      <c r="F143" s="65" t="inlineStr">
        <is>
          <t>Cash</t>
        </is>
      </c>
      <c r="G143" s="67" t="n">
        <v>5366</v>
      </c>
    </row>
    <row r="144">
      <c r="A144" s="64" t="n">
        <v>46270</v>
      </c>
      <c r="B144" s="65" t="inlineStr">
        <is>
          <t>V-0128</t>
        </is>
      </c>
      <c r="C144" s="65" t="inlineStr">
        <is>
          <t>Expense</t>
        </is>
      </c>
      <c r="E144" s="65" t="inlineStr">
        <is>
          <t>Telephone / Internet</t>
        </is>
      </c>
      <c r="F144" s="65" t="inlineStr">
        <is>
          <t>UPI</t>
        </is>
      </c>
      <c r="G144" s="67" t="n">
        <v>1199</v>
      </c>
    </row>
    <row r="145">
      <c r="A145" s="64" t="n">
        <v>46275</v>
      </c>
      <c r="B145" s="65" t="inlineStr">
        <is>
          <t>V-0129</t>
        </is>
      </c>
      <c r="C145" s="65" t="inlineStr">
        <is>
          <t>Receipt</t>
        </is>
      </c>
      <c r="D145" s="65" t="inlineStr">
        <is>
          <t>Sharma Kirana Store</t>
        </is>
      </c>
      <c r="F145" s="65" t="inlineStr">
        <is>
          <t>UPI</t>
        </is>
      </c>
      <c r="G145" s="67" t="n">
        <v>7700</v>
      </c>
      <c r="H145" s="65" t="inlineStr">
        <is>
          <t>NEFT/UPI</t>
        </is>
      </c>
    </row>
    <row r="146">
      <c r="A146" s="64" t="n">
        <v>46275</v>
      </c>
      <c r="B146" s="65" t="inlineStr">
        <is>
          <t>V-0130</t>
        </is>
      </c>
      <c r="C146" s="65" t="inlineStr">
        <is>
          <t>Receipt</t>
        </is>
      </c>
      <c r="D146" s="65" t="inlineStr">
        <is>
          <t>Gupta Electricals</t>
        </is>
      </c>
      <c r="F146" s="65" t="inlineStr">
        <is>
          <t>UPI</t>
        </is>
      </c>
      <c r="G146" s="67" t="n">
        <v>6900</v>
      </c>
      <c r="H146" s="65" t="inlineStr">
        <is>
          <t>NEFT/UPI</t>
        </is>
      </c>
    </row>
    <row r="147">
      <c r="A147" s="64" t="n">
        <v>46275</v>
      </c>
      <c r="B147" s="65" t="inlineStr">
        <is>
          <t>V-0131</t>
        </is>
      </c>
      <c r="C147" s="65" t="inlineStr">
        <is>
          <t>Receipt</t>
        </is>
      </c>
      <c r="D147" s="65" t="inlineStr">
        <is>
          <t>Delhi Hardware Mart</t>
        </is>
      </c>
      <c r="F147" s="65" t="inlineStr">
        <is>
          <t>UPI</t>
        </is>
      </c>
      <c r="G147" s="67" t="n">
        <v>16400</v>
      </c>
      <c r="H147" s="65" t="inlineStr">
        <is>
          <t>NEFT/UPI</t>
        </is>
      </c>
    </row>
    <row r="148">
      <c r="A148" s="64" t="n">
        <v>46275</v>
      </c>
      <c r="B148" s="65" t="inlineStr">
        <is>
          <t>V-0132</t>
        </is>
      </c>
      <c r="C148" s="65" t="inlineStr">
        <is>
          <t>Receipt</t>
        </is>
      </c>
      <c r="D148" s="65" t="inlineStr">
        <is>
          <t>Mehta Constructions</t>
        </is>
      </c>
      <c r="F148" s="65" t="inlineStr">
        <is>
          <t>Bank</t>
        </is>
      </c>
      <c r="G148" s="67" t="n">
        <v>18200</v>
      </c>
      <c r="H148" s="65" t="inlineStr">
        <is>
          <t>NEFT/UPI</t>
        </is>
      </c>
    </row>
    <row r="149">
      <c r="A149" s="64" t="n">
        <v>46275</v>
      </c>
      <c r="B149" s="65" t="inlineStr">
        <is>
          <t>V-0133</t>
        </is>
      </c>
      <c r="C149" s="65" t="inlineStr">
        <is>
          <t>Receipt</t>
        </is>
      </c>
      <c r="D149" s="65" t="inlineStr">
        <is>
          <t>FMCG Distributors</t>
        </is>
      </c>
      <c r="F149" s="65" t="inlineStr">
        <is>
          <t>UPI</t>
        </is>
      </c>
      <c r="G149" s="67" t="n">
        <v>14300</v>
      </c>
      <c r="H149" s="65" t="inlineStr">
        <is>
          <t>NEFT/UPI</t>
        </is>
      </c>
    </row>
    <row r="150">
      <c r="A150" s="64" t="n">
        <v>46275</v>
      </c>
      <c r="B150" s="65" t="inlineStr">
        <is>
          <t>V-0134</t>
        </is>
      </c>
      <c r="C150" s="65" t="inlineStr">
        <is>
          <t>Payment</t>
        </is>
      </c>
      <c r="D150" s="65" t="inlineStr">
        <is>
          <t>Agro Foods Pvt Ltd</t>
        </is>
      </c>
      <c r="F150" s="65" t="inlineStr">
        <is>
          <t>Bank</t>
        </is>
      </c>
      <c r="G150" s="67" t="n">
        <v>95000</v>
      </c>
      <c r="H150" s="65" t="inlineStr">
        <is>
          <t>RTGS</t>
        </is>
      </c>
    </row>
    <row r="151">
      <c r="A151" s="64" t="n">
        <v>46275</v>
      </c>
      <c r="B151" s="65" t="inlineStr">
        <is>
          <t>V-0135</t>
        </is>
      </c>
      <c r="C151" s="65" t="inlineStr">
        <is>
          <t>Payment</t>
        </is>
      </c>
      <c r="D151" s="65" t="inlineStr">
        <is>
          <t>Bharat Electric Co</t>
        </is>
      </c>
      <c r="F151" s="65" t="inlineStr">
        <is>
          <t>Bank</t>
        </is>
      </c>
      <c r="G151" s="67" t="n">
        <v>81000</v>
      </c>
      <c r="H151" s="65" t="inlineStr">
        <is>
          <t>RTGS</t>
        </is>
      </c>
    </row>
    <row r="152">
      <c r="A152" s="64" t="n">
        <v>46275</v>
      </c>
      <c r="B152" s="65" t="inlineStr">
        <is>
          <t>V-0136</t>
        </is>
      </c>
      <c r="C152" s="65" t="inlineStr">
        <is>
          <t>Payment</t>
        </is>
      </c>
      <c r="D152" s="65" t="inlineStr">
        <is>
          <t>FMCG Distributors</t>
        </is>
      </c>
      <c r="F152" s="65" t="inlineStr">
        <is>
          <t>Bank</t>
        </is>
      </c>
      <c r="G152" s="67" t="n">
        <v>41000</v>
      </c>
      <c r="H152" s="65" t="inlineStr">
        <is>
          <t>RTGS</t>
        </is>
      </c>
    </row>
    <row r="153">
      <c r="A153" s="64" t="n">
        <v>46275</v>
      </c>
      <c r="B153" s="65" t="inlineStr">
        <is>
          <t>V-0137</t>
        </is>
      </c>
      <c r="C153" s="65" t="inlineStr">
        <is>
          <t>Payment</t>
        </is>
      </c>
      <c r="D153" s="65" t="inlineStr">
        <is>
          <t>National Hardware Supply</t>
        </is>
      </c>
      <c r="F153" s="65" t="inlineStr">
        <is>
          <t>Bank</t>
        </is>
      </c>
      <c r="G153" s="67" t="n">
        <v>47000</v>
      </c>
      <c r="H153" s="65" t="inlineStr">
        <is>
          <t>RTGS</t>
        </is>
      </c>
    </row>
    <row r="154">
      <c r="A154" s="64" t="n">
        <v>46290</v>
      </c>
      <c r="B154" s="65" t="inlineStr">
        <is>
          <t>V-0138</t>
        </is>
      </c>
      <c r="C154" s="65" t="inlineStr">
        <is>
          <t>Receipt</t>
        </is>
      </c>
      <c r="D154" s="65" t="inlineStr">
        <is>
          <t>Sharma Kirana Store</t>
        </is>
      </c>
      <c r="F154" s="65" t="inlineStr">
        <is>
          <t>Bank</t>
        </is>
      </c>
      <c r="G154" s="67" t="n">
        <v>11800</v>
      </c>
      <c r="H154" s="65" t="inlineStr">
        <is>
          <t>NEFT/UPI</t>
        </is>
      </c>
    </row>
    <row r="155">
      <c r="A155" s="64" t="n">
        <v>46290</v>
      </c>
      <c r="B155" s="65" t="inlineStr">
        <is>
          <t>V-0139</t>
        </is>
      </c>
      <c r="C155" s="65" t="inlineStr">
        <is>
          <t>Receipt</t>
        </is>
      </c>
      <c r="D155" s="65" t="inlineStr">
        <is>
          <t>Gupta Electricals</t>
        </is>
      </c>
      <c r="F155" s="65" t="inlineStr">
        <is>
          <t>UPI</t>
        </is>
      </c>
      <c r="G155" s="67" t="n">
        <v>11500</v>
      </c>
      <c r="H155" s="65" t="inlineStr">
        <is>
          <t>NEFT/UPI</t>
        </is>
      </c>
    </row>
    <row r="156">
      <c r="A156" s="64" t="n">
        <v>46290</v>
      </c>
      <c r="B156" s="65" t="inlineStr">
        <is>
          <t>V-0140</t>
        </is>
      </c>
      <c r="C156" s="65" t="inlineStr">
        <is>
          <t>Receipt</t>
        </is>
      </c>
      <c r="D156" s="65" t="inlineStr">
        <is>
          <t>Delhi Hardware Mart</t>
        </is>
      </c>
      <c r="F156" s="65" t="inlineStr">
        <is>
          <t>Bank</t>
        </is>
      </c>
      <c r="G156" s="67" t="n">
        <v>12800</v>
      </c>
      <c r="H156" s="65" t="inlineStr">
        <is>
          <t>NEFT/UPI</t>
        </is>
      </c>
    </row>
    <row r="157">
      <c r="A157" s="64" t="n">
        <v>46290</v>
      </c>
      <c r="B157" s="65" t="inlineStr">
        <is>
          <t>V-0141</t>
        </is>
      </c>
      <c r="C157" s="65" t="inlineStr">
        <is>
          <t>Receipt</t>
        </is>
      </c>
      <c r="D157" s="65" t="inlineStr">
        <is>
          <t>Mehta Constructions</t>
        </is>
      </c>
      <c r="F157" s="65" t="inlineStr">
        <is>
          <t>UPI</t>
        </is>
      </c>
      <c r="G157" s="67" t="n">
        <v>12700</v>
      </c>
      <c r="H157" s="65" t="inlineStr">
        <is>
          <t>NEFT/UPI</t>
        </is>
      </c>
    </row>
    <row r="158">
      <c r="A158" s="64" t="n">
        <v>46290</v>
      </c>
      <c r="B158" s="65" t="inlineStr">
        <is>
          <t>V-0142</t>
        </is>
      </c>
      <c r="C158" s="65" t="inlineStr">
        <is>
          <t>Receipt</t>
        </is>
      </c>
      <c r="D158" s="65" t="inlineStr">
        <is>
          <t>FMCG Distributors</t>
        </is>
      </c>
      <c r="F158" s="65" t="inlineStr">
        <is>
          <t>Bank</t>
        </is>
      </c>
      <c r="G158" s="67" t="n">
        <v>13700</v>
      </c>
      <c r="H158" s="65" t="inlineStr">
        <is>
          <t>NEFT/UPI</t>
        </is>
      </c>
    </row>
    <row r="159">
      <c r="A159" s="64" t="n">
        <v>46290</v>
      </c>
      <c r="B159" s="65" t="inlineStr">
        <is>
          <t>V-0143</t>
        </is>
      </c>
      <c r="C159" s="65" t="inlineStr">
        <is>
          <t>Payment</t>
        </is>
      </c>
      <c r="D159" s="65" t="inlineStr">
        <is>
          <t>Agro Foods Pvt Ltd</t>
        </is>
      </c>
      <c r="F159" s="65" t="inlineStr">
        <is>
          <t>Bank</t>
        </is>
      </c>
      <c r="G159" s="67" t="n">
        <v>18000</v>
      </c>
      <c r="H159" s="65" t="inlineStr">
        <is>
          <t>RTGS</t>
        </is>
      </c>
    </row>
    <row r="160">
      <c r="A160" s="64" t="n">
        <v>46290</v>
      </c>
      <c r="B160" s="65" t="inlineStr">
        <is>
          <t>V-0144</t>
        </is>
      </c>
      <c r="C160" s="65" t="inlineStr">
        <is>
          <t>Payment</t>
        </is>
      </c>
      <c r="D160" s="65" t="inlineStr">
        <is>
          <t>Bharat Electric Co</t>
        </is>
      </c>
      <c r="F160" s="65" t="inlineStr">
        <is>
          <t>Bank</t>
        </is>
      </c>
      <c r="G160" s="67" t="n">
        <v>13000</v>
      </c>
      <c r="H160" s="65" t="inlineStr">
        <is>
          <t>RTGS</t>
        </is>
      </c>
    </row>
    <row r="161">
      <c r="A161" s="64" t="n">
        <v>46290</v>
      </c>
      <c r="B161" s="65" t="inlineStr">
        <is>
          <t>V-0145</t>
        </is>
      </c>
      <c r="C161" s="65" t="inlineStr">
        <is>
          <t>Payment</t>
        </is>
      </c>
      <c r="D161" s="65" t="inlineStr">
        <is>
          <t>FMCG Distributors</t>
        </is>
      </c>
      <c r="F161" s="65" t="inlineStr">
        <is>
          <t>Bank</t>
        </is>
      </c>
      <c r="G161" s="67" t="n">
        <v>7000</v>
      </c>
      <c r="H161" s="65" t="inlineStr">
        <is>
          <t>RTGS</t>
        </is>
      </c>
    </row>
    <row r="162">
      <c r="A162" s="64" t="n">
        <v>46290</v>
      </c>
      <c r="B162" s="65" t="inlineStr">
        <is>
          <t>V-0146</t>
        </is>
      </c>
      <c r="C162" s="65" t="inlineStr">
        <is>
          <t>Payment</t>
        </is>
      </c>
      <c r="D162" s="65" t="inlineStr">
        <is>
          <t>National Hardware Supply</t>
        </is>
      </c>
      <c r="F162" s="65" t="inlineStr">
        <is>
          <t>Bank</t>
        </is>
      </c>
      <c r="G162" s="67" t="n">
        <v>8000</v>
      </c>
      <c r="H162" s="65" t="inlineStr">
        <is>
          <t>RTGS</t>
        </is>
      </c>
    </row>
    <row r="163">
      <c r="A163" s="64" t="n">
        <v>46291</v>
      </c>
      <c r="B163" s="65" t="inlineStr">
        <is>
          <t>V-0147</t>
        </is>
      </c>
      <c r="C163" s="65" t="inlineStr">
        <is>
          <t>Transfer Out</t>
        </is>
      </c>
      <c r="F163" s="65" t="inlineStr">
        <is>
          <t>Cash</t>
        </is>
      </c>
      <c r="G163" s="67" t="n">
        <v>82000</v>
      </c>
      <c r="H163" s="65" t="inlineStr">
        <is>
          <t>Cash deposited to Bank</t>
        </is>
      </c>
    </row>
    <row r="164">
      <c r="A164" s="64" t="n">
        <v>46291</v>
      </c>
      <c r="B164" s="65" t="inlineStr">
        <is>
          <t>V-0147</t>
        </is>
      </c>
      <c r="C164" s="65" t="inlineStr">
        <is>
          <t>Transfer In</t>
        </is>
      </c>
      <c r="F164" s="65" t="inlineStr">
        <is>
          <t>Bank</t>
        </is>
      </c>
      <c r="G164" s="67" t="n">
        <v>82000</v>
      </c>
      <c r="H164" s="65" t="inlineStr">
        <is>
          <t>Cash deposited to Bank</t>
        </is>
      </c>
    </row>
    <row r="165">
      <c r="A165" s="64" t="n">
        <v>46291</v>
      </c>
      <c r="B165" s="65" t="inlineStr">
        <is>
          <t>V-0148</t>
        </is>
      </c>
      <c r="C165" s="65" t="inlineStr">
        <is>
          <t>Transfer Out</t>
        </is>
      </c>
      <c r="F165" s="65" t="inlineStr">
        <is>
          <t>UPI</t>
        </is>
      </c>
      <c r="G165" s="67" t="n">
        <v>143000</v>
      </c>
      <c r="H165" s="65" t="inlineStr">
        <is>
          <t>UPI deposited to Bank</t>
        </is>
      </c>
    </row>
    <row r="166">
      <c r="A166" s="64" t="n">
        <v>46291</v>
      </c>
      <c r="B166" s="65" t="inlineStr">
        <is>
          <t>V-0148</t>
        </is>
      </c>
      <c r="C166" s="65" t="inlineStr">
        <is>
          <t>Transfer In</t>
        </is>
      </c>
      <c r="F166" s="65" t="inlineStr">
        <is>
          <t>Bank</t>
        </is>
      </c>
      <c r="G166" s="67" t="n">
        <v>143000</v>
      </c>
      <c r="H166" s="65" t="inlineStr">
        <is>
          <t>UPI deposited to Bank</t>
        </is>
      </c>
    </row>
    <row r="167">
      <c r="A167" s="64" t="n">
        <v>46300</v>
      </c>
      <c r="B167" s="65" t="inlineStr">
        <is>
          <t>V-0149</t>
        </is>
      </c>
      <c r="C167" s="65" t="inlineStr">
        <is>
          <t>Expense</t>
        </is>
      </c>
      <c r="E167" s="65" t="inlineStr">
        <is>
          <t>Rent</t>
        </is>
      </c>
      <c r="F167" s="65" t="inlineStr">
        <is>
          <t>Bank</t>
        </is>
      </c>
      <c r="G167" s="67" t="n">
        <v>18000</v>
      </c>
    </row>
    <row r="168">
      <c r="A168" s="64" t="n">
        <v>46300</v>
      </c>
      <c r="B168" s="65" t="inlineStr">
        <is>
          <t>V-0150</t>
        </is>
      </c>
      <c r="C168" s="65" t="inlineStr">
        <is>
          <t>Expense</t>
        </is>
      </c>
      <c r="E168" s="65" t="inlineStr">
        <is>
          <t>Salary</t>
        </is>
      </c>
      <c r="F168" s="65" t="inlineStr">
        <is>
          <t>Bank</t>
        </is>
      </c>
      <c r="G168" s="67" t="n">
        <v>26000</v>
      </c>
    </row>
    <row r="169">
      <c r="A169" s="64" t="n">
        <v>46300</v>
      </c>
      <c r="B169" s="65" t="inlineStr">
        <is>
          <t>V-0151</t>
        </is>
      </c>
      <c r="C169" s="65" t="inlineStr">
        <is>
          <t>Expense</t>
        </is>
      </c>
      <c r="E169" s="65" t="inlineStr">
        <is>
          <t>Electricity</t>
        </is>
      </c>
      <c r="F169" s="65" t="inlineStr">
        <is>
          <t>UPI</t>
        </is>
      </c>
      <c r="G169" s="67" t="n">
        <v>4933</v>
      </c>
    </row>
    <row r="170">
      <c r="A170" s="64" t="n">
        <v>46300</v>
      </c>
      <c r="B170" s="65" t="inlineStr">
        <is>
          <t>V-0152</t>
        </is>
      </c>
      <c r="C170" s="65" t="inlineStr">
        <is>
          <t>Expense</t>
        </is>
      </c>
      <c r="E170" s="65" t="inlineStr">
        <is>
          <t>Transport / Freight</t>
        </is>
      </c>
      <c r="F170" s="65" t="inlineStr">
        <is>
          <t>Cash</t>
        </is>
      </c>
      <c r="G170" s="67" t="n">
        <v>7354</v>
      </c>
    </row>
    <row r="171">
      <c r="A171" s="64" t="n">
        <v>46300</v>
      </c>
      <c r="B171" s="65" t="inlineStr">
        <is>
          <t>V-0153</t>
        </is>
      </c>
      <c r="C171" s="65" t="inlineStr">
        <is>
          <t>Expense</t>
        </is>
      </c>
      <c r="E171" s="65" t="inlineStr">
        <is>
          <t>Telephone / Internet</t>
        </is>
      </c>
      <c r="F171" s="65" t="inlineStr">
        <is>
          <t>UPI</t>
        </is>
      </c>
      <c r="G171" s="67" t="n">
        <v>1199</v>
      </c>
    </row>
    <row r="172">
      <c r="A172" s="64" t="n">
        <v>46305</v>
      </c>
      <c r="B172" s="65" t="inlineStr">
        <is>
          <t>V-0154</t>
        </is>
      </c>
      <c r="C172" s="65" t="inlineStr">
        <is>
          <t>Receipt</t>
        </is>
      </c>
      <c r="D172" s="65" t="inlineStr">
        <is>
          <t>Sharma Kirana Store</t>
        </is>
      </c>
      <c r="F172" s="65" t="inlineStr">
        <is>
          <t>UPI</t>
        </is>
      </c>
      <c r="G172" s="67" t="n">
        <v>14400</v>
      </c>
      <c r="H172" s="65" t="inlineStr">
        <is>
          <t>NEFT/UPI</t>
        </is>
      </c>
    </row>
    <row r="173">
      <c r="A173" s="64" t="n">
        <v>46305</v>
      </c>
      <c r="B173" s="65" t="inlineStr">
        <is>
          <t>V-0155</t>
        </is>
      </c>
      <c r="C173" s="65" t="inlineStr">
        <is>
          <t>Receipt</t>
        </is>
      </c>
      <c r="D173" s="65" t="inlineStr">
        <is>
          <t>Gupta Electricals</t>
        </is>
      </c>
      <c r="F173" s="65" t="inlineStr">
        <is>
          <t>Bank</t>
        </is>
      </c>
      <c r="G173" s="67" t="n">
        <v>17600</v>
      </c>
      <c r="H173" s="65" t="inlineStr">
        <is>
          <t>NEFT/UPI</t>
        </is>
      </c>
    </row>
    <row r="174">
      <c r="A174" s="64" t="n">
        <v>46305</v>
      </c>
      <c r="B174" s="65" t="inlineStr">
        <is>
          <t>V-0156</t>
        </is>
      </c>
      <c r="C174" s="65" t="inlineStr">
        <is>
          <t>Receipt</t>
        </is>
      </c>
      <c r="D174" s="65" t="inlineStr">
        <is>
          <t>Delhi Hardware Mart</t>
        </is>
      </c>
      <c r="F174" s="65" t="inlineStr">
        <is>
          <t>UPI</t>
        </is>
      </c>
      <c r="G174" s="67" t="n">
        <v>6000</v>
      </c>
      <c r="H174" s="65" t="inlineStr">
        <is>
          <t>NEFT/UPI</t>
        </is>
      </c>
    </row>
    <row r="175">
      <c r="A175" s="64" t="n">
        <v>46305</v>
      </c>
      <c r="B175" s="65" t="inlineStr">
        <is>
          <t>V-0157</t>
        </is>
      </c>
      <c r="C175" s="65" t="inlineStr">
        <is>
          <t>Receipt</t>
        </is>
      </c>
      <c r="D175" s="65" t="inlineStr">
        <is>
          <t>Mehta Constructions</t>
        </is>
      </c>
      <c r="F175" s="65" t="inlineStr">
        <is>
          <t>UPI</t>
        </is>
      </c>
      <c r="G175" s="67" t="n">
        <v>14700</v>
      </c>
      <c r="H175" s="65" t="inlineStr">
        <is>
          <t>NEFT/UPI</t>
        </is>
      </c>
    </row>
    <row r="176">
      <c r="A176" s="64" t="n">
        <v>46305</v>
      </c>
      <c r="B176" s="65" t="inlineStr">
        <is>
          <t>V-0158</t>
        </is>
      </c>
      <c r="C176" s="65" t="inlineStr">
        <is>
          <t>Receipt</t>
        </is>
      </c>
      <c r="D176" s="65" t="inlineStr">
        <is>
          <t>FMCG Distributors</t>
        </is>
      </c>
      <c r="F176" s="65" t="inlineStr">
        <is>
          <t>UPI</t>
        </is>
      </c>
      <c r="G176" s="67" t="n">
        <v>11500</v>
      </c>
      <c r="H176" s="65" t="inlineStr">
        <is>
          <t>NEFT/UPI</t>
        </is>
      </c>
    </row>
    <row r="177">
      <c r="A177" s="64" t="n">
        <v>46305</v>
      </c>
      <c r="B177" s="65" t="inlineStr">
        <is>
          <t>V-0159</t>
        </is>
      </c>
      <c r="C177" s="65" t="inlineStr">
        <is>
          <t>Payment</t>
        </is>
      </c>
      <c r="D177" s="65" t="inlineStr">
        <is>
          <t>Agro Foods Pvt Ltd</t>
        </is>
      </c>
      <c r="F177" s="65" t="inlineStr">
        <is>
          <t>Bank</t>
        </is>
      </c>
      <c r="G177" s="67" t="n">
        <v>43000</v>
      </c>
      <c r="H177" s="65" t="inlineStr">
        <is>
          <t>RTGS</t>
        </is>
      </c>
    </row>
    <row r="178">
      <c r="A178" s="64" t="n">
        <v>46305</v>
      </c>
      <c r="B178" s="65" t="inlineStr">
        <is>
          <t>V-0160</t>
        </is>
      </c>
      <c r="C178" s="65" t="inlineStr">
        <is>
          <t>Payment</t>
        </is>
      </c>
      <c r="D178" s="65" t="inlineStr">
        <is>
          <t>Bharat Electric Co</t>
        </is>
      </c>
      <c r="F178" s="65" t="inlineStr">
        <is>
          <t>Bank</t>
        </is>
      </c>
      <c r="G178" s="67" t="n">
        <v>26000</v>
      </c>
      <c r="H178" s="65" t="inlineStr">
        <is>
          <t>RTGS</t>
        </is>
      </c>
    </row>
    <row r="179">
      <c r="A179" s="64" t="n">
        <v>46305</v>
      </c>
      <c r="B179" s="65" t="inlineStr">
        <is>
          <t>V-0161</t>
        </is>
      </c>
      <c r="C179" s="65" t="inlineStr">
        <is>
          <t>Payment</t>
        </is>
      </c>
      <c r="D179" s="65" t="inlineStr">
        <is>
          <t>FMCG Distributors</t>
        </is>
      </c>
      <c r="F179" s="65" t="inlineStr">
        <is>
          <t>Bank</t>
        </is>
      </c>
      <c r="G179" s="67" t="n">
        <v>21000</v>
      </c>
      <c r="H179" s="65" t="inlineStr">
        <is>
          <t>RTGS</t>
        </is>
      </c>
    </row>
    <row r="180">
      <c r="A180" s="64" t="n">
        <v>46305</v>
      </c>
      <c r="B180" s="65" t="inlineStr">
        <is>
          <t>V-0162</t>
        </is>
      </c>
      <c r="C180" s="65" t="inlineStr">
        <is>
          <t>Payment</t>
        </is>
      </c>
      <c r="D180" s="65" t="inlineStr">
        <is>
          <t>National Hardware Supply</t>
        </is>
      </c>
      <c r="F180" s="65" t="inlineStr">
        <is>
          <t>Bank</t>
        </is>
      </c>
      <c r="G180" s="67" t="n">
        <v>3000</v>
      </c>
      <c r="H180" s="65" t="inlineStr">
        <is>
          <t>RTGS</t>
        </is>
      </c>
    </row>
  </sheetData>
  <autoFilter ref="A4:K20004"/>
  <mergeCells count="2">
    <mergeCell ref="A2:K2"/>
    <mergeCell ref="A1:K1"/>
  </mergeCells>
  <conditionalFormatting sqref="K5:K20004">
    <cfRule type="expression" priority="1" dxfId="1">
      <formula>AND(K5&lt;&gt;"",K5&lt;&gt;"OK")</formula>
    </cfRule>
  </conditionalFormatting>
  <dataValidations count="4">
    <dataValidation sqref="C5:C20004" showDropDown="0" showInputMessage="0" showErrorMessage="1" allowBlank="1" error="Pick a value from the list (add new masters on the master sheet first)." type="list" errorStyle="stop">
      <formula1>L_VoucherTypes</formula1>
    </dataValidation>
    <dataValidation sqref="D5:D20004" showDropDown="0" showInputMessage="0" showErrorMessage="1" allowBlank="1" error="Pick a value from the list (add new masters on the master sheet first)." type="list" errorStyle="stop">
      <formula1>L_Parties</formula1>
    </dataValidation>
    <dataValidation sqref="E5:E20004" showDropDown="0" showInputMessage="0" showErrorMessage="0" allowBlank="1" error="Pick a value from the list (add new masters on the master sheet first)." type="list" errorStyle="warning">
      <formula1>L_ExpenseHeads</formula1>
    </dataValidation>
    <dataValidation sqref="F5:F20004" showDropDown="0" showInputMessage="0" showErrorMessage="1" allowBlank="1" error="Pick a value from the list (add new masters on the master sheet first)." type="list" errorStyle="stop">
      <formula1>L_Accounts</formula1>
    </dataValidation>
  </dataValidations>
  <hyperlinks>
    <hyperlink xmlns:r="http://schemas.openxmlformats.org/officeDocument/2006/relationships" ref="M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83593"/>
    <outlinePr summaryBelow="1" summaryRight="1"/>
    <pageSetUpPr/>
  </sheetPr>
  <dimension ref="A1:AB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style="65" min="1" max="1"/>
    <col width="13" customWidth="1" style="65" min="2" max="2"/>
    <col width="12" customWidth="1" style="65" min="3" max="3"/>
    <col width="7" customWidth="1" style="65" min="4" max="4"/>
    <col width="9" customWidth="1" style="65" min="5" max="5"/>
    <col width="7" customWidth="1" style="79" min="6" max="6"/>
    <col width="11" customWidth="1" style="67" min="7" max="7"/>
    <col width="11" customWidth="1" style="67" min="8" max="8"/>
    <col width="9" customWidth="1" style="66" min="9" max="9"/>
    <col width="9" customWidth="1" style="66" min="10" max="10"/>
    <col width="10" customWidth="1" style="67" min="11" max="11"/>
    <col width="10" customWidth="1" style="80" min="12" max="12"/>
    <col width="9" customWidth="1" style="80" min="13" max="13"/>
    <col width="9" customWidth="1" style="80" min="14" max="14"/>
    <col width="10" customWidth="1" style="80" min="15" max="15"/>
    <col width="10" customWidth="1" style="70" min="16" max="16"/>
    <col width="12" customWidth="1" style="70" min="17" max="17"/>
    <col width="13" customWidth="1" style="69" min="18" max="18"/>
    <col width="8" customWidth="1" style="81" min="19" max="19"/>
    <col width="10" customWidth="1" style="80" min="20" max="20"/>
    <col width="12" customWidth="1" style="70" min="21" max="21"/>
    <col width="12" customWidth="1" style="70" min="22" max="22"/>
    <col width="10" customWidth="1" style="82" min="23" max="23"/>
    <col width="8" customWidth="1" style="83" min="24" max="24"/>
    <col width="8" customWidth="1" style="83" min="25" max="25"/>
    <col hidden="1" width="6" customWidth="1" style="69" min="26" max="26"/>
  </cols>
  <sheetData>
    <row r="1" ht="28" customHeight="1">
      <c r="A1" s="72" t="inlineStr">
        <is>
          <t>📦  ITEM MASTER &amp; LIVE STOCK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B1" s="73" t="inlineStr">
        <is>
          <t>◀ Home</t>
        </is>
      </c>
    </row>
    <row r="2">
      <c r="A2" s="3" t="inlineStr">
        <is>
          <t>One row per product. Stock, cost, value and reorder alerts update automatically from Purchases, Sales and Adjustments.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74" t="inlineStr">
        <is>
          <t>Blue / cream = type here</t>
        </is>
      </c>
      <c r="B3" s="75" t="n"/>
      <c r="C3" s="75" t="n"/>
      <c r="D3" s="75" t="n"/>
      <c r="E3" s="75" t="n"/>
      <c r="F3" s="75" t="n"/>
      <c r="G3" s="75" t="n"/>
      <c r="H3" s="75" t="n"/>
      <c r="I3" s="75" t="n"/>
      <c r="J3" s="75" t="n"/>
      <c r="K3" s="75" t="n"/>
      <c r="L3" s="76" t="inlineStr">
        <is>
          <t>⚙ C engine: {=_xll.ST_ITEMS(…)} fills L:Z</t>
        </is>
      </c>
      <c r="M3" s="75" t="n"/>
      <c r="N3" s="75" t="n"/>
      <c r="O3" s="75" t="n"/>
      <c r="P3" s="75" t="n"/>
      <c r="Q3" s="75" t="n"/>
      <c r="R3" s="75" t="n"/>
      <c r="S3" s="75" t="n"/>
      <c r="T3" s="75" t="n"/>
      <c r="U3" s="75" t="n"/>
      <c r="V3" s="75" t="n"/>
      <c r="W3" s="75" t="n"/>
      <c r="X3" s="75" t="n"/>
      <c r="Y3" s="75" t="n"/>
      <c r="Z3" s="75" t="n"/>
    </row>
    <row r="4" ht="32" customHeight="1">
      <c r="A4" s="77" t="inlineStr">
        <is>
          <t>Item Name *</t>
        </is>
      </c>
      <c r="B4" s="77" t="inlineStr">
        <is>
          <t>SKU / Barcode</t>
        </is>
      </c>
      <c r="C4" s="77" t="inlineStr">
        <is>
          <t>Category</t>
        </is>
      </c>
      <c r="D4" s="77" t="inlineStr">
        <is>
          <t>Unit</t>
        </is>
      </c>
      <c r="E4" s="77" t="inlineStr">
        <is>
          <t>HSN</t>
        </is>
      </c>
      <c r="F4" s="77" t="inlineStr">
        <is>
          <t>GST %</t>
        </is>
      </c>
      <c r="G4" s="77" t="inlineStr">
        <is>
          <t>Std Purchase Rate (₹)</t>
        </is>
      </c>
      <c r="H4" s="77" t="inlineStr">
        <is>
          <t>Std Sale Rate (₹)</t>
        </is>
      </c>
      <c r="I4" s="77" t="inlineStr">
        <is>
          <t>Reorder Level</t>
        </is>
      </c>
      <c r="J4" s="77" t="inlineStr">
        <is>
          <t>Opening Qty</t>
        </is>
      </c>
      <c r="K4" s="77" t="inlineStr">
        <is>
          <t>Opening Rate (₹)</t>
        </is>
      </c>
      <c r="L4" s="78" t="inlineStr">
        <is>
          <t>Purchased Qty</t>
        </is>
      </c>
      <c r="M4" s="78" t="inlineStr">
        <is>
          <t>Sold Qty</t>
        </is>
      </c>
      <c r="N4" s="78" t="inlineStr">
        <is>
          <t>Adjust Qty</t>
        </is>
      </c>
      <c r="O4" s="78" t="inlineStr">
        <is>
          <t>Closing Stock</t>
        </is>
      </c>
      <c r="P4" s="78" t="inlineStr">
        <is>
          <t>Avg Cost (₹)</t>
        </is>
      </c>
      <c r="Q4" s="78" t="inlineStr">
        <is>
          <t>Stock Value (₹)</t>
        </is>
      </c>
      <c r="R4" s="78" t="inlineStr">
        <is>
          <t>Status</t>
        </is>
      </c>
      <c r="S4" s="78" t="inlineStr">
        <is>
          <t>Margin %</t>
        </is>
      </c>
      <c r="T4" s="78" t="inlineStr">
        <is>
          <t>Suggested Order Qty</t>
        </is>
      </c>
      <c r="U4" s="78" t="inlineStr">
        <is>
          <t>Sales Value (₹)</t>
        </is>
      </c>
      <c r="V4" s="78" t="inlineStr">
        <is>
          <t>Gross Profit (₹)</t>
        </is>
      </c>
      <c r="W4" s="78" t="inlineStr">
        <is>
          <t>Last Sold</t>
        </is>
      </c>
      <c r="X4" s="78" t="inlineStr">
        <is>
          <t>Days Since Sale</t>
        </is>
      </c>
      <c r="Y4" s="78" t="inlineStr">
        <is>
          <t>Days of Cover</t>
        </is>
      </c>
      <c r="Z4" s="78" t="inlineStr">
        <is>
          <t>rank key</t>
        </is>
      </c>
    </row>
    <row r="5">
      <c r="A5" s="65" t="inlineStr">
        <is>
          <t>Basmati Rice 25kg</t>
        </is>
      </c>
      <c r="B5" s="65" t="inlineStr">
        <is>
          <t>8901001</t>
        </is>
      </c>
      <c r="C5" s="65" t="inlineStr">
        <is>
          <t>Grocery</t>
        </is>
      </c>
      <c r="D5" s="65" t="inlineStr">
        <is>
          <t>Bag</t>
        </is>
      </c>
      <c r="E5" s="65" t="inlineStr">
        <is>
          <t>1006</t>
        </is>
      </c>
      <c r="F5" s="79" t="n">
        <v>0.05</v>
      </c>
      <c r="G5" s="67" t="n">
        <v>1650</v>
      </c>
      <c r="H5" s="67" t="n">
        <v>2106</v>
      </c>
      <c r="I5" s="66" t="n">
        <v>10</v>
      </c>
      <c r="J5" s="66" t="n">
        <v>40</v>
      </c>
      <c r="K5" s="67" t="n">
        <v>1620</v>
      </c>
      <c r="L5" s="80">
        <f t="array" ref="L5:Z2004">_xll.ST_ITEMS(IN_Items,IN_Parties,IN_Purchases,IN_Sales,IN_CashBook,IN_Adjust,IN_Settings)</f>
        <v/>
      </c>
    </row>
    <row r="6">
      <c r="A6" s="65" t="inlineStr">
        <is>
          <t>Sugar 50kg</t>
        </is>
      </c>
      <c r="B6" s="65" t="inlineStr">
        <is>
          <t>8901002</t>
        </is>
      </c>
      <c r="C6" s="65" t="inlineStr">
        <is>
          <t>Grocery</t>
        </is>
      </c>
      <c r="D6" s="65" t="inlineStr">
        <is>
          <t>Bag</t>
        </is>
      </c>
      <c r="E6" s="65" t="inlineStr">
        <is>
          <t>1701</t>
        </is>
      </c>
      <c r="F6" s="79" t="n">
        <v>0.05</v>
      </c>
      <c r="G6" s="67" t="n">
        <v>2050</v>
      </c>
      <c r="H6" s="67" t="n">
        <v>2462</v>
      </c>
      <c r="I6" s="66" t="n">
        <v>8</v>
      </c>
      <c r="J6" s="66" t="n">
        <v>25</v>
      </c>
      <c r="K6" s="67" t="n">
        <v>2000</v>
      </c>
    </row>
    <row r="7">
      <c r="A7" s="65" t="inlineStr">
        <is>
          <t>Refined Oil 15L</t>
        </is>
      </c>
      <c r="B7" s="65" t="inlineStr">
        <is>
          <t>8901003</t>
        </is>
      </c>
      <c r="C7" s="65" t="inlineStr">
        <is>
          <t>Grocery</t>
        </is>
      </c>
      <c r="D7" s="65" t="inlineStr">
        <is>
          <t>Box</t>
        </is>
      </c>
      <c r="E7" s="65" t="inlineStr">
        <is>
          <t>1512</t>
        </is>
      </c>
      <c r="F7" s="79" t="n">
        <v>0.05</v>
      </c>
      <c r="G7" s="67" t="n">
        <v>1880</v>
      </c>
      <c r="H7" s="67" t="n">
        <v>2290</v>
      </c>
      <c r="I7" s="66" t="n">
        <v>10</v>
      </c>
      <c r="J7" s="66" t="n">
        <v>30</v>
      </c>
      <c r="K7" s="67" t="n">
        <v>1850</v>
      </c>
    </row>
    <row r="8">
      <c r="A8" s="65" t="inlineStr">
        <is>
          <t>Tea Premium 1kg</t>
        </is>
      </c>
      <c r="B8" s="65" t="inlineStr">
        <is>
          <t>8901004</t>
        </is>
      </c>
      <c r="C8" s="65" t="inlineStr">
        <is>
          <t>FMCG</t>
        </is>
      </c>
      <c r="D8" s="65" t="inlineStr">
        <is>
          <t>Pack</t>
        </is>
      </c>
      <c r="E8" s="65" t="inlineStr">
        <is>
          <t>0902</t>
        </is>
      </c>
      <c r="F8" s="79" t="n">
        <v>0.05</v>
      </c>
      <c r="G8" s="67" t="n">
        <v>380</v>
      </c>
      <c r="H8" s="67" t="n">
        <v>508</v>
      </c>
      <c r="I8" s="66" t="n">
        <v>20</v>
      </c>
      <c r="J8" s="66" t="n">
        <v>60</v>
      </c>
      <c r="K8" s="67" t="n">
        <v>375</v>
      </c>
    </row>
    <row r="9">
      <c r="A9" s="65" t="inlineStr">
        <is>
          <t>Detergent 5kg</t>
        </is>
      </c>
      <c r="B9" s="65" t="inlineStr">
        <is>
          <t>8901005</t>
        </is>
      </c>
      <c r="C9" s="65" t="inlineStr">
        <is>
          <t>FMCG</t>
        </is>
      </c>
      <c r="D9" s="65" t="inlineStr">
        <is>
          <t>Pack</t>
        </is>
      </c>
      <c r="E9" s="65" t="inlineStr">
        <is>
          <t>3402</t>
        </is>
      </c>
      <c r="F9" s="79" t="n">
        <v>0.18</v>
      </c>
      <c r="G9" s="67" t="n">
        <v>520</v>
      </c>
      <c r="H9" s="67" t="n">
        <v>691</v>
      </c>
      <c r="I9" s="66" t="n">
        <v>15</v>
      </c>
      <c r="J9" s="66" t="n">
        <v>50</v>
      </c>
      <c r="K9" s="67" t="n">
        <v>510</v>
      </c>
    </row>
    <row r="10">
      <c r="A10" s="65" t="inlineStr">
        <is>
          <t>Toothpaste 150g x12</t>
        </is>
      </c>
      <c r="B10" s="65" t="inlineStr">
        <is>
          <t>8901006</t>
        </is>
      </c>
      <c r="C10" s="65" t="inlineStr">
        <is>
          <t>FMCG</t>
        </is>
      </c>
      <c r="D10" s="65" t="inlineStr">
        <is>
          <t>Box</t>
        </is>
      </c>
      <c r="E10" s="65" t="inlineStr">
        <is>
          <t>3306</t>
        </is>
      </c>
      <c r="F10" s="79" t="n">
        <v>0.05</v>
      </c>
      <c r="G10" s="67" t="n">
        <v>900</v>
      </c>
      <c r="H10" s="67" t="n">
        <v>1166</v>
      </c>
      <c r="I10" s="66" t="n">
        <v>10</v>
      </c>
      <c r="J10" s="66" t="n">
        <v>25</v>
      </c>
      <c r="K10" s="67" t="n">
        <v>880</v>
      </c>
    </row>
    <row r="11">
      <c r="A11" s="65" t="inlineStr">
        <is>
          <t>LED Bulb 9W</t>
        </is>
      </c>
      <c r="B11" s="65" t="inlineStr">
        <is>
          <t>8901007</t>
        </is>
      </c>
      <c r="C11" s="65" t="inlineStr">
        <is>
          <t>Electrical</t>
        </is>
      </c>
      <c r="D11" s="65" t="inlineStr">
        <is>
          <t>Pcs</t>
        </is>
      </c>
      <c r="E11" s="65" t="inlineStr">
        <is>
          <t>8539</t>
        </is>
      </c>
      <c r="F11" s="79" t="n">
        <v>0.18</v>
      </c>
      <c r="G11" s="67" t="n">
        <v>62</v>
      </c>
      <c r="H11" s="67" t="n">
        <v>107</v>
      </c>
      <c r="I11" s="66" t="n">
        <v>100</v>
      </c>
      <c r="J11" s="66" t="n">
        <v>300</v>
      </c>
      <c r="K11" s="67" t="n">
        <v>60</v>
      </c>
    </row>
    <row r="12">
      <c r="A12" s="65" t="inlineStr">
        <is>
          <t>Copper Wire 90m</t>
        </is>
      </c>
      <c r="B12" s="65" t="inlineStr">
        <is>
          <t>8901008</t>
        </is>
      </c>
      <c r="C12" s="65" t="inlineStr">
        <is>
          <t>Electrical</t>
        </is>
      </c>
      <c r="D12" s="65" t="inlineStr">
        <is>
          <t>Pcs</t>
        </is>
      </c>
      <c r="E12" s="65" t="inlineStr">
        <is>
          <t>8544</t>
        </is>
      </c>
      <c r="F12" s="79" t="n">
        <v>0.18</v>
      </c>
      <c r="G12" s="67" t="n">
        <v>2450</v>
      </c>
      <c r="H12" s="67" t="n">
        <v>3132</v>
      </c>
      <c r="I12" s="66" t="n">
        <v>5</v>
      </c>
      <c r="J12" s="66" t="n">
        <v>12</v>
      </c>
      <c r="K12" s="67" t="n">
        <v>2400</v>
      </c>
    </row>
    <row r="13">
      <c r="A13" s="65" t="inlineStr">
        <is>
          <t>PVC Pipe 1in 6m</t>
        </is>
      </c>
      <c r="B13" s="65" t="inlineStr">
        <is>
          <t>8901009</t>
        </is>
      </c>
      <c r="C13" s="65" t="inlineStr">
        <is>
          <t>Hardware</t>
        </is>
      </c>
      <c r="D13" s="65" t="inlineStr">
        <is>
          <t>Pcs</t>
        </is>
      </c>
      <c r="E13" s="65" t="inlineStr">
        <is>
          <t>3917</t>
        </is>
      </c>
      <c r="F13" s="79" t="n">
        <v>0.18</v>
      </c>
      <c r="G13" s="67" t="n">
        <v>210</v>
      </c>
      <c r="H13" s="67" t="n">
        <v>297</v>
      </c>
      <c r="I13" s="66" t="n">
        <v>40</v>
      </c>
      <c r="J13" s="66" t="n">
        <v>120</v>
      </c>
      <c r="K13" s="67" t="n">
        <v>205</v>
      </c>
    </row>
    <row r="14">
      <c r="A14" s="65" t="inlineStr">
        <is>
          <t>Cement 50kg</t>
        </is>
      </c>
      <c r="B14" s="65" t="inlineStr">
        <is>
          <t>8901010</t>
        </is>
      </c>
      <c r="C14" s="65" t="inlineStr">
        <is>
          <t>Hardware</t>
        </is>
      </c>
      <c r="D14" s="65" t="inlineStr">
        <is>
          <t>Bag</t>
        </is>
      </c>
      <c r="E14" s="65" t="inlineStr">
        <is>
          <t>2523</t>
        </is>
      </c>
      <c r="F14" s="79" t="n">
        <v>0.18</v>
      </c>
      <c r="G14" s="67" t="n">
        <v>340</v>
      </c>
      <c r="H14" s="67" t="n">
        <v>427</v>
      </c>
      <c r="I14" s="66" t="n">
        <v>50</v>
      </c>
      <c r="J14" s="66" t="n">
        <v>200</v>
      </c>
      <c r="K14" s="67" t="n">
        <v>335</v>
      </c>
    </row>
    <row r="15">
      <c r="A15" s="65" t="inlineStr">
        <is>
          <t>A4 Paper Ream</t>
        </is>
      </c>
      <c r="B15" s="65" t="inlineStr">
        <is>
          <t>8901011</t>
        </is>
      </c>
      <c r="C15" s="65" t="inlineStr">
        <is>
          <t>Stationery</t>
        </is>
      </c>
      <c r="D15" s="65" t="inlineStr">
        <is>
          <t>Pack</t>
        </is>
      </c>
      <c r="E15" s="65" t="inlineStr">
        <is>
          <t>4802</t>
        </is>
      </c>
      <c r="F15" s="79" t="n">
        <v>0.12</v>
      </c>
      <c r="G15" s="67" t="n">
        <v>245</v>
      </c>
      <c r="H15" s="67" t="n">
        <v>335</v>
      </c>
      <c r="I15" s="66" t="n">
        <v>30</v>
      </c>
      <c r="J15" s="66" t="n">
        <v>80</v>
      </c>
      <c r="K15" s="67" t="n">
        <v>240</v>
      </c>
    </row>
    <row r="16">
      <c r="A16" s="65" t="inlineStr">
        <is>
          <t>Ceiling Fan 1200mm</t>
        </is>
      </c>
      <c r="B16" s="65" t="inlineStr">
        <is>
          <t>8901012</t>
        </is>
      </c>
      <c r="C16" s="65" t="inlineStr">
        <is>
          <t>Electrical</t>
        </is>
      </c>
      <c r="D16" s="65" t="inlineStr">
        <is>
          <t>Pcs</t>
        </is>
      </c>
      <c r="E16" s="65" t="inlineStr">
        <is>
          <t>8414</t>
        </is>
      </c>
      <c r="F16" s="79" t="n">
        <v>0.18</v>
      </c>
      <c r="G16" s="67" t="n">
        <v>1650</v>
      </c>
      <c r="H16" s="67" t="n">
        <v>2322</v>
      </c>
      <c r="I16" s="66" t="n">
        <v>5</v>
      </c>
      <c r="J16" s="66" t="n">
        <v>4</v>
      </c>
      <c r="K16" s="67" t="n">
        <v>1600</v>
      </c>
    </row>
  </sheetData>
  <autoFilter ref="A4:Z2004"/>
  <mergeCells count="2">
    <mergeCell ref="A1:Z1"/>
    <mergeCell ref="A2:Z2"/>
  </mergeCells>
  <conditionalFormatting sqref="R5:R2004">
    <cfRule type="cellIs" priority="1" operator="equal" dxfId="3">
      <formula>"NEGATIVE"</formula>
    </cfRule>
    <cfRule type="cellIs" priority="2" operator="equal" dxfId="1">
      <formula>"OUT OF STOCK"</formula>
    </cfRule>
    <cfRule type="cellIs" priority="3" operator="equal" dxfId="2">
      <formula>"REORDER"</formula>
    </cfRule>
    <cfRule type="cellIs" priority="4" operator="equal" dxfId="4">
      <formula>"DEAD STOCK"</formula>
    </cfRule>
    <cfRule type="cellIs" priority="5" operator="equal" dxfId="6">
      <formula>"OK"</formula>
    </cfRule>
  </conditionalFormatting>
  <dataValidations count="4">
    <dataValidation sqref="C5:C2004" showDropDown="0" showInputMessage="0" showErrorMessage="1" allowBlank="1" error="Pick a value from the list (add new masters on the master sheet first)." type="list" errorStyle="stop">
      <formula1>L_Categories</formula1>
    </dataValidation>
    <dataValidation sqref="D5:D2004" showDropDown="0" showInputMessage="0" showErrorMessage="1" allowBlank="1" error="Pick a value from the list (add new masters on the master sheet first)." type="list" errorStyle="stop">
      <formula1>L_Units</formula1>
    </dataValidation>
    <dataValidation sqref="F5:F2004" showDropDown="0" showInputMessage="0" showErrorMessage="1" allowBlank="1" error="Pick a value from the list (add new masters on the master sheet first)." type="list" errorStyle="stop">
      <formula1>L_GSTRates</formula1>
    </dataValidation>
    <dataValidation sqref="A5:A2004" showDropDown="0" showInputMessage="0" showErrorMessage="1" allowBlank="1" error="This item name already exists. Item names must be unique." type="custom">
      <formula1>COUNTIF($A$5:$A$2004,A5)=1</formula1>
    </dataValidation>
  </dataValidations>
  <hyperlinks>
    <hyperlink xmlns:r="http://schemas.openxmlformats.org/officeDocument/2006/relationships" ref="AB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F6C00"/>
    <outlinePr summaryBelow="1" summaryRight="1"/>
    <pageSetUpPr/>
  </sheetPr>
  <dimension ref="A1:U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style="65" min="1" max="1"/>
    <col width="10" customWidth="1" style="65" min="2" max="2"/>
    <col width="13" customWidth="1" style="65" min="3" max="3"/>
    <col width="17" customWidth="1" style="65" min="4" max="4"/>
    <col width="15" customWidth="1" style="65" min="5" max="5"/>
    <col width="24" customWidth="1" style="65" min="6" max="6"/>
    <col width="11" customWidth="1" style="84" min="7" max="7"/>
    <col width="8" customWidth="1" style="85" min="8" max="8"/>
    <col width="12" customWidth="1" style="67" min="9" max="9"/>
    <col width="12" customWidth="1" style="70" min="10" max="10"/>
    <col width="12" customWidth="1" style="70" min="11" max="11"/>
    <col width="12" customWidth="1" style="70" min="12" max="12"/>
    <col width="12" customWidth="1" style="70" min="13" max="13"/>
    <col width="13" customWidth="1" style="70" min="14" max="14"/>
    <col width="11" customWidth="1" style="69" min="15" max="15"/>
    <col width="10" customWidth="1" style="82" min="16" max="16"/>
    <col width="10" customWidth="1" style="82" min="17" max="17"/>
    <col width="8" customWidth="1" style="83" min="18" max="18"/>
    <col width="14" customWidth="1" style="69" min="19" max="19"/>
  </cols>
  <sheetData>
    <row r="1" ht="28" customHeight="1">
      <c r="A1" s="72" t="inlineStr">
        <is>
          <t>👥  CUSTOMERS &amp; SUPPLIERS (PARTY LEDGER)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U1" s="73" t="inlineStr">
        <is>
          <t>◀ Home</t>
        </is>
      </c>
    </row>
    <row r="2">
      <c r="A2" s="3" t="inlineStr">
        <is>
          <t>Balance &gt; 0 means the party owes you (receivable); &lt; 0 means you owe them (payable).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</row>
    <row r="3">
      <c r="A3" s="74" t="inlineStr">
        <is>
          <t>Blue / cream = type here</t>
        </is>
      </c>
      <c r="B3" s="75" t="n"/>
      <c r="C3" s="75" t="n"/>
      <c r="D3" s="75" t="n"/>
      <c r="E3" s="75" t="n"/>
      <c r="F3" s="75" t="n"/>
      <c r="G3" s="75" t="n"/>
      <c r="H3" s="75" t="n"/>
      <c r="I3" s="75" t="n"/>
      <c r="J3" s="76" t="inlineStr">
        <is>
          <t>⚙ C engine: {=_xll.ST_PARTIES(…)} fills J:S</t>
        </is>
      </c>
      <c r="K3" s="75" t="n"/>
      <c r="L3" s="75" t="n"/>
      <c r="M3" s="75" t="n"/>
      <c r="N3" s="75" t="n"/>
      <c r="O3" s="75" t="n"/>
      <c r="P3" s="75" t="n"/>
      <c r="Q3" s="75" t="n"/>
      <c r="R3" s="75" t="n"/>
      <c r="S3" s="75" t="n"/>
    </row>
    <row r="4" ht="32" customHeight="1">
      <c r="A4" s="77" t="inlineStr">
        <is>
          <t>Party Name *</t>
        </is>
      </c>
      <c r="B4" s="77" t="inlineStr">
        <is>
          <t>Type</t>
        </is>
      </c>
      <c r="C4" s="77" t="inlineStr">
        <is>
          <t>Phone</t>
        </is>
      </c>
      <c r="D4" s="77" t="inlineStr">
        <is>
          <t>GSTIN</t>
        </is>
      </c>
      <c r="E4" s="77" t="inlineStr">
        <is>
          <t>State</t>
        </is>
      </c>
      <c r="F4" s="77" t="inlineStr">
        <is>
          <t>Address</t>
        </is>
      </c>
      <c r="G4" s="77" t="inlineStr">
        <is>
          <t>Credit Limit (₹)</t>
        </is>
      </c>
      <c r="H4" s="77" t="inlineStr">
        <is>
          <t>Credit Days</t>
        </is>
      </c>
      <c r="I4" s="77" t="inlineStr">
        <is>
          <t>Opening Bal (₹) +recv / -pay</t>
        </is>
      </c>
      <c r="J4" s="78" t="inlineStr">
        <is>
          <t>Credit Sales (₹)</t>
        </is>
      </c>
      <c r="K4" s="78" t="inlineStr">
        <is>
          <t>Received (₹)</t>
        </is>
      </c>
      <c r="L4" s="78" t="inlineStr">
        <is>
          <t>Credit Purchases (₹)</t>
        </is>
      </c>
      <c r="M4" s="78" t="inlineStr">
        <is>
          <t>Paid (₹)</t>
        </is>
      </c>
      <c r="N4" s="78" t="inlineStr">
        <is>
          <t>Balance (₹)</t>
        </is>
      </c>
      <c r="O4" s="78" t="inlineStr">
        <is>
          <t>Position</t>
        </is>
      </c>
      <c r="P4" s="78" t="inlineStr">
        <is>
          <t>Last Sale</t>
        </is>
      </c>
      <c r="Q4" s="78" t="inlineStr">
        <is>
          <t>Last Receipt</t>
        </is>
      </c>
      <c r="R4" s="78" t="inlineStr">
        <is>
          <t>Days Unpaid</t>
        </is>
      </c>
      <c r="S4" s="78" t="inlineStr">
        <is>
          <t>Alert</t>
        </is>
      </c>
    </row>
    <row r="5">
      <c r="A5" s="65" t="inlineStr">
        <is>
          <t>Sharma Kirana Store</t>
        </is>
      </c>
      <c r="B5" s="65" t="inlineStr">
        <is>
          <t>Customer</t>
        </is>
      </c>
      <c r="C5" s="65" t="inlineStr">
        <is>
          <t>9810000001</t>
        </is>
      </c>
      <c r="D5" s="65" t="inlineStr">
        <is>
          <t>08AAAPS1111A1Z1</t>
        </is>
      </c>
      <c r="E5" s="65" t="inlineStr">
        <is>
          <t>Rajasthan</t>
        </is>
      </c>
      <c r="F5" s="65" t="inlineStr">
        <is>
          <t>Jaipur</t>
        </is>
      </c>
      <c r="G5" s="84" t="n">
        <v>50000</v>
      </c>
      <c r="H5" s="85" t="n">
        <v>15</v>
      </c>
      <c r="I5" s="67" t="n">
        <v>12000</v>
      </c>
      <c r="J5" s="70">
        <f t="array" ref="J5:S1004">_xll.ST_PARTIES(IN_Items,IN_Parties,IN_Purchases,IN_Sales,IN_CashBook,IN_Adjust,IN_Settings)</f>
        <v/>
      </c>
    </row>
    <row r="6">
      <c r="A6" s="65" t="inlineStr">
        <is>
          <t>Gupta Electricals</t>
        </is>
      </c>
      <c r="B6" s="65" t="inlineStr">
        <is>
          <t>Customer</t>
        </is>
      </c>
      <c r="C6" s="65" t="inlineStr">
        <is>
          <t>9810000002</t>
        </is>
      </c>
      <c r="D6" s="65" t="inlineStr">
        <is>
          <t>08AAAPG2222B1Z2</t>
        </is>
      </c>
      <c r="E6" s="65" t="inlineStr">
        <is>
          <t>Rajasthan</t>
        </is>
      </c>
      <c r="F6" s="65" t="inlineStr">
        <is>
          <t>Ajmer</t>
        </is>
      </c>
      <c r="G6" s="84" t="n">
        <v>80000</v>
      </c>
      <c r="H6" s="85" t="n">
        <v>30</v>
      </c>
      <c r="I6" s="67" t="n">
        <v>0</v>
      </c>
    </row>
    <row r="7">
      <c r="A7" s="65" t="inlineStr">
        <is>
          <t>Delhi Hardware Mart</t>
        </is>
      </c>
      <c r="B7" s="65" t="inlineStr">
        <is>
          <t>Customer</t>
        </is>
      </c>
      <c r="C7" s="65" t="inlineStr">
        <is>
          <t>9810000003</t>
        </is>
      </c>
      <c r="D7" s="65" t="inlineStr">
        <is>
          <t>07AAAPD3333C1Z3</t>
        </is>
      </c>
      <c r="E7" s="65" t="inlineStr">
        <is>
          <t>Delhi</t>
        </is>
      </c>
      <c r="F7" s="65" t="inlineStr">
        <is>
          <t>Karol Bagh, Delhi</t>
        </is>
      </c>
      <c r="G7" s="84" t="n">
        <v>100000</v>
      </c>
      <c r="H7" s="85" t="n">
        <v>30</v>
      </c>
      <c r="I7" s="67" t="n">
        <v>0</v>
      </c>
    </row>
    <row r="8">
      <c r="A8" s="65" t="inlineStr">
        <is>
          <t>Walk-in Customer</t>
        </is>
      </c>
      <c r="B8" s="65" t="inlineStr">
        <is>
          <t>Customer</t>
        </is>
      </c>
      <c r="C8" s="65" t="inlineStr"/>
      <c r="D8" s="65" t="inlineStr"/>
      <c r="E8" s="65" t="inlineStr">
        <is>
          <t>Rajasthan</t>
        </is>
      </c>
      <c r="F8" s="65" t="inlineStr"/>
      <c r="G8" s="84" t="n">
        <v>0</v>
      </c>
      <c r="H8" s="85" t="n">
        <v>0</v>
      </c>
      <c r="I8" s="67" t="n">
        <v>0</v>
      </c>
    </row>
    <row r="9">
      <c r="A9" s="65" t="inlineStr">
        <is>
          <t>Mehta Constructions</t>
        </is>
      </c>
      <c r="B9" s="65" t="inlineStr">
        <is>
          <t>Customer</t>
        </is>
      </c>
      <c r="C9" s="65" t="inlineStr">
        <is>
          <t>9810000005</t>
        </is>
      </c>
      <c r="D9" s="65" t="inlineStr">
        <is>
          <t>08AAAPM5555E1Z5</t>
        </is>
      </c>
      <c r="E9" s="65" t="inlineStr">
        <is>
          <t>Rajasthan</t>
        </is>
      </c>
      <c r="F9" s="65" t="inlineStr">
        <is>
          <t>Jodhpur</t>
        </is>
      </c>
      <c r="G9" s="84" t="n">
        <v>60000</v>
      </c>
      <c r="H9" s="85" t="n">
        <v>21</v>
      </c>
      <c r="I9" s="67" t="n">
        <v>8000</v>
      </c>
    </row>
    <row r="10">
      <c r="A10" s="65" t="inlineStr">
        <is>
          <t>Agro Foods Pvt Ltd</t>
        </is>
      </c>
      <c r="B10" s="65" t="inlineStr">
        <is>
          <t>Supplier</t>
        </is>
      </c>
      <c r="C10" s="65" t="inlineStr">
        <is>
          <t>9810000006</t>
        </is>
      </c>
      <c r="D10" s="65" t="inlineStr">
        <is>
          <t>08AABCA6666F1Z6</t>
        </is>
      </c>
      <c r="E10" s="65" t="inlineStr">
        <is>
          <t>Rajasthan</t>
        </is>
      </c>
      <c r="F10" s="65" t="inlineStr">
        <is>
          <t>Kota</t>
        </is>
      </c>
      <c r="G10" s="84" t="n">
        <v>0</v>
      </c>
      <c r="H10" s="85" t="n">
        <v>30</v>
      </c>
      <c r="I10" s="67" t="n">
        <v>-25000</v>
      </c>
    </row>
    <row r="11">
      <c r="A11" s="65" t="inlineStr">
        <is>
          <t>Bharat Electric Co</t>
        </is>
      </c>
      <c r="B11" s="65" t="inlineStr">
        <is>
          <t>Supplier</t>
        </is>
      </c>
      <c r="C11" s="65" t="inlineStr">
        <is>
          <t>9810000007</t>
        </is>
      </c>
      <c r="D11" s="65" t="inlineStr">
        <is>
          <t>27AABCB7777G1Z7</t>
        </is>
      </c>
      <c r="E11" s="65" t="inlineStr">
        <is>
          <t>Maharashtra</t>
        </is>
      </c>
      <c r="F11" s="65" t="inlineStr">
        <is>
          <t>Mumbai</t>
        </is>
      </c>
      <c r="G11" s="84" t="n">
        <v>0</v>
      </c>
      <c r="H11" s="85" t="n">
        <v>45</v>
      </c>
      <c r="I11" s="67" t="n">
        <v>0</v>
      </c>
    </row>
    <row r="12">
      <c r="A12" s="65" t="inlineStr">
        <is>
          <t>National Hardware Supply</t>
        </is>
      </c>
      <c r="B12" s="65" t="inlineStr">
        <is>
          <t>Supplier</t>
        </is>
      </c>
      <c r="C12" s="65" t="inlineStr">
        <is>
          <t>9810000008</t>
        </is>
      </c>
      <c r="D12" s="65" t="inlineStr">
        <is>
          <t>08AABCN8888H1Z8</t>
        </is>
      </c>
      <c r="E12" s="65" t="inlineStr">
        <is>
          <t>Rajasthan</t>
        </is>
      </c>
      <c r="F12" s="65" t="inlineStr">
        <is>
          <t>Jaipur</t>
        </is>
      </c>
      <c r="G12" s="84" t="n">
        <v>0</v>
      </c>
      <c r="H12" s="85" t="n">
        <v>30</v>
      </c>
      <c r="I12" s="67" t="n">
        <v>0</v>
      </c>
    </row>
    <row r="13">
      <c r="A13" s="65" t="inlineStr">
        <is>
          <t>FMCG Distributors</t>
        </is>
      </c>
      <c r="B13" s="65" t="inlineStr">
        <is>
          <t>Both</t>
        </is>
      </c>
      <c r="C13" s="65" t="inlineStr">
        <is>
          <t>9810000009</t>
        </is>
      </c>
      <c r="D13" s="65" t="inlineStr">
        <is>
          <t>08AABCF9999J1Z9</t>
        </is>
      </c>
      <c r="E13" s="65" t="inlineStr">
        <is>
          <t>Rajasthan</t>
        </is>
      </c>
      <c r="F13" s="65" t="inlineStr">
        <is>
          <t>Jaipur</t>
        </is>
      </c>
      <c r="G13" s="84" t="n">
        <v>40000</v>
      </c>
      <c r="H13" s="85" t="n">
        <v>15</v>
      </c>
      <c r="I13" s="67" t="n">
        <v>0</v>
      </c>
    </row>
  </sheetData>
  <autoFilter ref="A4:S1004"/>
  <mergeCells count="2">
    <mergeCell ref="A2:S2"/>
    <mergeCell ref="A1:S1"/>
  </mergeCells>
  <conditionalFormatting sqref="S5:S1004">
    <cfRule type="cellIs" priority="1" operator="equal" dxfId="3">
      <formula>"OVER LIMIT"</formula>
    </cfRule>
    <cfRule type="cellIs" priority="2" operator="equal" dxfId="1">
      <formula>"OVERDUE"</formula>
    </cfRule>
    <cfRule type="cellIs" priority="3" operator="equal" dxfId="2">
      <formula>"PAY DUE"</formula>
    </cfRule>
  </conditionalFormatting>
  <dataValidations count="3">
    <dataValidation sqref="B5:B1004" showDropDown="0" showInputMessage="0" showErrorMessage="1" allowBlank="1" error="Pick a value from the list (add new masters on the master sheet first)." type="list" errorStyle="stop">
      <formula1>L_PartyTypes</formula1>
    </dataValidation>
    <dataValidation sqref="E5:E1004" showDropDown="0" showInputMessage="0" showErrorMessage="1" allowBlank="1" error="Pick a value from the list (add new masters on the master sheet first)." type="list" errorStyle="stop">
      <formula1>L_States</formula1>
    </dataValidation>
    <dataValidation sqref="A5:A1004" showDropDown="0" showInputMessage="0" showErrorMessage="1" allowBlank="1" error="This party already exists. Party names must be unique." type="custom">
      <formula1>COUNTIF($A$5:$A$1004,A5)=1</formula1>
    </dataValidation>
  </dataValidations>
  <hyperlinks>
    <hyperlink xmlns:r="http://schemas.openxmlformats.org/officeDocument/2006/relationships" ref="U1" r:id="rId1"/>
  </hyperlink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6D4C41"/>
    <outlinePr summaryBelow="1" summaryRight="1"/>
    <pageSetUpPr/>
  </sheetPr>
  <dimension ref="A1:I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style="64" min="1" max="1"/>
    <col width="26" customWidth="1" style="65" min="2" max="2"/>
    <col width="11" customWidth="1" style="66" min="3" max="3"/>
    <col width="16" customWidth="1" style="65" min="4" max="4"/>
    <col width="28" customWidth="1" style="65" min="5" max="5"/>
    <col width="11" customWidth="1" style="70" min="6" max="6"/>
    <col width="13" customWidth="1" style="70" min="7" max="7"/>
  </cols>
  <sheetData>
    <row r="1" ht="28" customHeight="1">
      <c r="A1" s="72" t="inlineStr">
        <is>
          <t>🔧  STOCK ADJUSTMENTS</t>
        </is>
      </c>
      <c r="B1" s="1" t="n"/>
      <c r="C1" s="1" t="n"/>
      <c r="D1" s="1" t="n"/>
      <c r="E1" s="1" t="n"/>
      <c r="F1" s="1" t="n"/>
      <c r="G1" s="1" t="n"/>
      <c r="I1" s="73" t="inlineStr">
        <is>
          <t>◀ Home</t>
        </is>
      </c>
    </row>
    <row r="2">
      <c r="A2" s="3" t="inlineStr">
        <is>
          <t>Damage, expiry, physical-count corrections, returns. Negative qty reduces stock and is booked as a loss.</t>
        </is>
      </c>
      <c r="B2" s="1" t="n"/>
      <c r="C2" s="1" t="n"/>
      <c r="D2" s="1" t="n"/>
      <c r="E2" s="1" t="n"/>
      <c r="F2" s="1" t="n"/>
      <c r="G2" s="1" t="n"/>
    </row>
    <row r="3">
      <c r="A3" s="74" t="inlineStr">
        <is>
          <t>Blue / cream = type here</t>
        </is>
      </c>
      <c r="B3" s="75" t="n"/>
      <c r="C3" s="75" t="n"/>
      <c r="D3" s="75" t="n"/>
      <c r="E3" s="75" t="n"/>
      <c r="F3" s="76" t="inlineStr">
        <is>
          <t>⚙ C engine: {=_xll.ST_ADJUST(…)} fills F:G</t>
        </is>
      </c>
      <c r="G3" s="75" t="n"/>
    </row>
    <row r="4" ht="32" customHeight="1">
      <c r="A4" s="77" t="inlineStr">
        <is>
          <t>Date *</t>
        </is>
      </c>
      <c r="B4" s="77" t="inlineStr">
        <is>
          <t>Item *</t>
        </is>
      </c>
      <c r="C4" s="77" t="inlineStr">
        <is>
          <t>Qty (+in / -out) *</t>
        </is>
      </c>
      <c r="D4" s="77" t="inlineStr">
        <is>
          <t>Reason *</t>
        </is>
      </c>
      <c r="E4" s="77" t="inlineStr">
        <is>
          <t>Notes</t>
        </is>
      </c>
      <c r="F4" s="78" t="inlineStr">
        <is>
          <t>Avg Cost (₹)</t>
        </is>
      </c>
      <c r="G4" s="78" t="inlineStr">
        <is>
          <t>Value Impact (₹)</t>
        </is>
      </c>
    </row>
    <row r="5">
      <c r="A5" s="64" t="n">
        <v>46162</v>
      </c>
      <c r="B5" s="65" t="inlineStr">
        <is>
          <t>Refined Oil 15L</t>
        </is>
      </c>
      <c r="C5" s="66" t="n">
        <v>-2</v>
      </c>
      <c r="D5" s="65" t="inlineStr">
        <is>
          <t>Damage</t>
        </is>
      </c>
      <c r="E5" s="65" t="inlineStr">
        <is>
          <t>Leaking tins</t>
        </is>
      </c>
      <c r="F5" s="70">
        <f t="array" ref="F5:G2004">_xll.ST_ADJUST(IN_Items,IN_Parties,IN_Purchases,IN_Sales,IN_CashBook,IN_Adjust,IN_Settings)</f>
        <v/>
      </c>
    </row>
    <row r="6">
      <c r="A6" s="64" t="n">
        <v>46205</v>
      </c>
      <c r="B6" s="65" t="inlineStr">
        <is>
          <t>LED Bulb 9W</t>
        </is>
      </c>
      <c r="C6" s="66" t="n">
        <v>-6</v>
      </c>
      <c r="D6" s="65" t="inlineStr">
        <is>
          <t>Count Correction</t>
        </is>
      </c>
      <c r="E6" s="65" t="inlineStr">
        <is>
          <t>Physical count</t>
        </is>
      </c>
    </row>
    <row r="7">
      <c r="A7" s="64" t="n">
        <v>46275</v>
      </c>
      <c r="B7" s="65" t="inlineStr">
        <is>
          <t>Basmati Rice 25kg</t>
        </is>
      </c>
      <c r="C7" s="66" t="n">
        <v>1</v>
      </c>
      <c r="D7" s="65" t="inlineStr">
        <is>
          <t>Sales Return</t>
        </is>
      </c>
      <c r="E7" s="65" t="inlineStr">
        <is>
          <t>Returned by Sharma Kirana</t>
        </is>
      </c>
    </row>
  </sheetData>
  <autoFilter ref="A4:G2004"/>
  <mergeCells count="2">
    <mergeCell ref="A2:G2"/>
    <mergeCell ref="A1:G1"/>
  </mergeCells>
  <dataValidations count="2">
    <dataValidation sqref="B5:B2004" showDropDown="0" showInputMessage="0" showErrorMessage="1" allowBlank="1" error="Pick a value from the list (add new masters on the master sheet first)." type="list" errorStyle="stop">
      <formula1>L_Items</formula1>
    </dataValidation>
    <dataValidation sqref="D5:D2004" showDropDown="0" showInputMessage="0" showErrorMessage="1" allowBlank="1" error="Pick a value from the list (add new masters on the master sheet first)." type="list" errorStyle="stop">
      <formula1>L_AdjReasons</formula1>
    </dataValidation>
  </dataValidations>
  <hyperlinks>
    <hyperlink xmlns:r="http://schemas.openxmlformats.org/officeDocument/2006/relationships" ref="I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37474F"/>
    <outlinePr summaryBelow="1" summaryRight="1"/>
    <pageSetUpPr fitToPage="1"/>
  </sheetPr>
  <dimension ref="A1:M4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9" customWidth="1" min="3" max="3"/>
    <col width="7" customWidth="1" min="4" max="4"/>
    <col width="7" customWidth="1" min="5" max="5"/>
    <col width="11" customWidth="1" min="6" max="6"/>
    <col width="8" customWidth="1" min="7" max="7"/>
    <col width="13" customWidth="1" min="8" max="8"/>
    <col width="7" customWidth="1" min="9" max="9"/>
    <col width="12" customWidth="1" min="10" max="10"/>
    <col width="14" customWidth="1" min="11" max="11"/>
  </cols>
  <sheetData>
    <row r="1">
      <c r="A1" s="86">
        <f>CoName</f>
        <v/>
      </c>
    </row>
    <row r="2">
      <c r="A2" s="87">
        <f>CoAddr&amp;"  ·  "&amp;CoPhone</f>
        <v/>
      </c>
    </row>
    <row r="3">
      <c r="A3" s="87">
        <f>"GSTIN: "&amp;CoGSTIN&amp;"  ·  State: "&amp;HomeState</f>
        <v/>
      </c>
      <c r="M3" s="73" t="inlineStr">
        <is>
          <t>◀ Home</t>
        </is>
      </c>
    </row>
    <row r="5">
      <c r="A5" s="88" t="inlineStr">
        <is>
          <t>TAX INVOICE / DELIVERY CHALLAN</t>
        </is>
      </c>
    </row>
    <row r="7">
      <c r="B7" s="4" t="inlineStr">
        <is>
          <t>Invoice No ▶ (type to reprint)</t>
        </is>
      </c>
      <c r="C7" s="89">
        <f>IF(COUNTA(Sales!$B$5:$B$20004)=0,"",INDEX(Sales!$B$5:$B$20004,COUNTA(Sales!$B$5:$B$20004)))</f>
        <v/>
      </c>
      <c r="G7" s="4" t="inlineStr">
        <is>
          <t>Bill To</t>
        </is>
      </c>
      <c r="H7" s="90">
        <f>IFERROR(INDEX(Sales!$C$5:$C$20004,MATCH($C$7,Sales!$B$5:$B$20004,0)),"")</f>
        <v/>
      </c>
    </row>
    <row r="8">
      <c r="B8" s="4" t="inlineStr">
        <is>
          <t>Invoice Date</t>
        </is>
      </c>
      <c r="C8" s="91">
        <f>IFERROR(INDEX(Sales!$A$5:$A$20004,MATCH($C$7,Sales!$B$5:$B$20004,0)),"")</f>
        <v/>
      </c>
      <c r="G8" s="4" t="inlineStr">
        <is>
          <t>GSTIN</t>
        </is>
      </c>
      <c r="H8">
        <f>IFERROR(INDEX(Parties!$D$5:$D$1004,MATCH($H$7,Parties!$A$5:$A$1004,0))&amp;"","")</f>
        <v/>
      </c>
    </row>
    <row r="9">
      <c r="B9" s="4" t="inlineStr">
        <is>
          <t>Payment</t>
        </is>
      </c>
      <c r="C9">
        <f>IFERROR(IF(INDEX(Sales!$H$5:$H$20004,MATCH($C$7,Sales!$B$5:$B$20004,0))="","Credit",INDEX(Sales!$H$5:$H$20004,MATCH($C$7,Sales!$B$5:$B$20004,0))),"")</f>
        <v/>
      </c>
      <c r="G9" s="4" t="inlineStr">
        <is>
          <t>State</t>
        </is>
      </c>
      <c r="H9">
        <f>IFERROR(INDEX(Parties!$E$5:$E$1004,MATCH($H$7,Parties!$A$5:$A$1004,0))&amp;"","")</f>
        <v/>
      </c>
    </row>
    <row r="10">
      <c r="G10" s="4" t="inlineStr">
        <is>
          <t>Address</t>
        </is>
      </c>
      <c r="H10">
        <f>IFERROR(INDEX(Parties!$F$5:$F$1004,MATCH($H$7,Parties!$A$5:$A$1004,0))&amp;"","")</f>
        <v/>
      </c>
    </row>
    <row r="12">
      <c r="A12" s="77" t="inlineStr">
        <is>
          <t>#</t>
        </is>
      </c>
      <c r="B12" s="77" t="inlineStr">
        <is>
          <t>Item</t>
        </is>
      </c>
      <c r="C12" s="77" t="inlineStr">
        <is>
          <t>HSN</t>
        </is>
      </c>
      <c r="D12" s="77" t="inlineStr">
        <is>
          <t>Qty</t>
        </is>
      </c>
      <c r="E12" s="77" t="inlineStr">
        <is>
          <t>Unit</t>
        </is>
      </c>
      <c r="F12" s="77" t="inlineStr">
        <is>
          <t>Rate (₹)</t>
        </is>
      </c>
      <c r="G12" s="77" t="inlineStr">
        <is>
          <t>Disc %</t>
        </is>
      </c>
      <c r="H12" s="77" t="inlineStr">
        <is>
          <t>Taxable (₹)</t>
        </is>
      </c>
      <c r="I12" s="77" t="inlineStr">
        <is>
          <t>GST %</t>
        </is>
      </c>
      <c r="J12" s="77" t="inlineStr">
        <is>
          <t>Tax (₹)</t>
        </is>
      </c>
      <c r="K12" s="77" t="inlineStr">
        <is>
          <t>Amount (₹)</t>
        </is>
      </c>
    </row>
    <row r="13">
      <c r="A13" s="92">
        <f>IF(IFERROR(INDEX(Sales!$B$5:$B$20004,(MATCH($C$7,Sales!$B$5:$B$20004,0)+0))=$C$7,FALSE),1,"")</f>
        <v/>
      </c>
      <c r="B13" s="92">
        <f>IF($A13="","",INDEX(Sales!$D$5:$D$20004,(MATCH($C$7,Sales!$B$5:$B$20004,0)+0)))</f>
        <v/>
      </c>
      <c r="C13" s="92">
        <f>IF($A13="","",IFERROR(INDEX(Items!$E$5:$E$2004,INDEX(Sales!$U$5:$U$20004,(MATCH($C$7,Sales!$B$5:$B$20004,0)+0)))&amp;"",""))</f>
        <v/>
      </c>
      <c r="D13" s="93">
        <f>IF($A13="","",INDEX(Sales!$E$5:$E$20004,(MATCH($C$7,Sales!$B$5:$B$20004,0)+0)))</f>
        <v/>
      </c>
      <c r="E13" s="92">
        <f>IF($A13="","",INDEX(Sales!$J$5:$J$20004,(MATCH($C$7,Sales!$B$5:$B$20004,0)+0)))</f>
        <v/>
      </c>
      <c r="F13" s="94">
        <f>IF($A13="","",INDEX(Sales!$K$5:$K$20004,(MATCH($C$7,Sales!$B$5:$B$20004,0)+0)))</f>
        <v/>
      </c>
      <c r="G13" s="95">
        <f>IF($A13="","",N(INDEX(Sales!$G$5:$G$20004,(MATCH($C$7,Sales!$B$5:$B$20004,0)+0))))</f>
        <v/>
      </c>
      <c r="H13" s="94">
        <f>IF($A13="","",INDEX(Sales!$L$5:$L$20004,(MATCH($C$7,Sales!$B$5:$B$20004,0)+0)))</f>
        <v/>
      </c>
      <c r="I13" s="96">
        <f>IF($A13="","",INDEX(Sales!$M$5:$M$20004,(MATCH($C$7,Sales!$B$5:$B$20004,0)+0)))</f>
        <v/>
      </c>
      <c r="J13" s="94">
        <f>IF($A13="","",INDEX(Sales!$N$5:$N$20004,(MATCH($C$7,Sales!$B$5:$B$20004,0)+0))+INDEX(Sales!$O$5:$O$20004,(MATCH($C$7,Sales!$B$5:$B$20004,0)+0))+INDEX(Sales!$P$5:$P$20004,(MATCH($C$7,Sales!$B$5:$B$20004,0)+0)))</f>
        <v/>
      </c>
      <c r="K13" s="94">
        <f>IF($A13="","",INDEX(Sales!$Q$5:$Q$20004,(MATCH($C$7,Sales!$B$5:$B$20004,0)+0)))</f>
        <v/>
      </c>
    </row>
    <row r="14">
      <c r="A14" s="92">
        <f>IF(IFERROR(INDEX(Sales!$B$5:$B$20004,(MATCH($C$7,Sales!$B$5:$B$20004,0)+1))=$C$7,FALSE),2,"")</f>
        <v/>
      </c>
      <c r="B14" s="92">
        <f>IF($A14="","",INDEX(Sales!$D$5:$D$20004,(MATCH($C$7,Sales!$B$5:$B$20004,0)+1)))</f>
        <v/>
      </c>
      <c r="C14" s="92">
        <f>IF($A14="","",IFERROR(INDEX(Items!$E$5:$E$2004,INDEX(Sales!$U$5:$U$20004,(MATCH($C$7,Sales!$B$5:$B$20004,0)+1)))&amp;"",""))</f>
        <v/>
      </c>
      <c r="D14" s="93">
        <f>IF($A14="","",INDEX(Sales!$E$5:$E$20004,(MATCH($C$7,Sales!$B$5:$B$20004,0)+1)))</f>
        <v/>
      </c>
      <c r="E14" s="92">
        <f>IF($A14="","",INDEX(Sales!$J$5:$J$20004,(MATCH($C$7,Sales!$B$5:$B$20004,0)+1)))</f>
        <v/>
      </c>
      <c r="F14" s="94">
        <f>IF($A14="","",INDEX(Sales!$K$5:$K$20004,(MATCH($C$7,Sales!$B$5:$B$20004,0)+1)))</f>
        <v/>
      </c>
      <c r="G14" s="95">
        <f>IF($A14="","",N(INDEX(Sales!$G$5:$G$20004,(MATCH($C$7,Sales!$B$5:$B$20004,0)+1))))</f>
        <v/>
      </c>
      <c r="H14" s="94">
        <f>IF($A14="","",INDEX(Sales!$L$5:$L$20004,(MATCH($C$7,Sales!$B$5:$B$20004,0)+1)))</f>
        <v/>
      </c>
      <c r="I14" s="96">
        <f>IF($A14="","",INDEX(Sales!$M$5:$M$20004,(MATCH($C$7,Sales!$B$5:$B$20004,0)+1)))</f>
        <v/>
      </c>
      <c r="J14" s="94">
        <f>IF($A14="","",INDEX(Sales!$N$5:$N$20004,(MATCH($C$7,Sales!$B$5:$B$20004,0)+1))+INDEX(Sales!$O$5:$O$20004,(MATCH($C$7,Sales!$B$5:$B$20004,0)+1))+INDEX(Sales!$P$5:$P$20004,(MATCH($C$7,Sales!$B$5:$B$20004,0)+1)))</f>
        <v/>
      </c>
      <c r="K14" s="94">
        <f>IF($A14="","",INDEX(Sales!$Q$5:$Q$20004,(MATCH($C$7,Sales!$B$5:$B$20004,0)+1)))</f>
        <v/>
      </c>
    </row>
    <row r="15">
      <c r="A15" s="92">
        <f>IF(IFERROR(INDEX(Sales!$B$5:$B$20004,(MATCH($C$7,Sales!$B$5:$B$20004,0)+2))=$C$7,FALSE),3,"")</f>
        <v/>
      </c>
      <c r="B15" s="92">
        <f>IF($A15="","",INDEX(Sales!$D$5:$D$20004,(MATCH($C$7,Sales!$B$5:$B$20004,0)+2)))</f>
        <v/>
      </c>
      <c r="C15" s="92">
        <f>IF($A15="","",IFERROR(INDEX(Items!$E$5:$E$2004,INDEX(Sales!$U$5:$U$20004,(MATCH($C$7,Sales!$B$5:$B$20004,0)+2)))&amp;"",""))</f>
        <v/>
      </c>
      <c r="D15" s="93">
        <f>IF($A15="","",INDEX(Sales!$E$5:$E$20004,(MATCH($C$7,Sales!$B$5:$B$20004,0)+2)))</f>
        <v/>
      </c>
      <c r="E15" s="92">
        <f>IF($A15="","",INDEX(Sales!$J$5:$J$20004,(MATCH($C$7,Sales!$B$5:$B$20004,0)+2)))</f>
        <v/>
      </c>
      <c r="F15" s="94">
        <f>IF($A15="","",INDEX(Sales!$K$5:$K$20004,(MATCH($C$7,Sales!$B$5:$B$20004,0)+2)))</f>
        <v/>
      </c>
      <c r="G15" s="95">
        <f>IF($A15="","",N(INDEX(Sales!$G$5:$G$20004,(MATCH($C$7,Sales!$B$5:$B$20004,0)+2))))</f>
        <v/>
      </c>
      <c r="H15" s="94">
        <f>IF($A15="","",INDEX(Sales!$L$5:$L$20004,(MATCH($C$7,Sales!$B$5:$B$20004,0)+2)))</f>
        <v/>
      </c>
      <c r="I15" s="96">
        <f>IF($A15="","",INDEX(Sales!$M$5:$M$20004,(MATCH($C$7,Sales!$B$5:$B$20004,0)+2)))</f>
        <v/>
      </c>
      <c r="J15" s="94">
        <f>IF($A15="","",INDEX(Sales!$N$5:$N$20004,(MATCH($C$7,Sales!$B$5:$B$20004,0)+2))+INDEX(Sales!$O$5:$O$20004,(MATCH($C$7,Sales!$B$5:$B$20004,0)+2))+INDEX(Sales!$P$5:$P$20004,(MATCH($C$7,Sales!$B$5:$B$20004,0)+2)))</f>
        <v/>
      </c>
      <c r="K15" s="94">
        <f>IF($A15="","",INDEX(Sales!$Q$5:$Q$20004,(MATCH($C$7,Sales!$B$5:$B$20004,0)+2)))</f>
        <v/>
      </c>
    </row>
    <row r="16">
      <c r="A16" s="92">
        <f>IF(IFERROR(INDEX(Sales!$B$5:$B$20004,(MATCH($C$7,Sales!$B$5:$B$20004,0)+3))=$C$7,FALSE),4,"")</f>
        <v/>
      </c>
      <c r="B16" s="92">
        <f>IF($A16="","",INDEX(Sales!$D$5:$D$20004,(MATCH($C$7,Sales!$B$5:$B$20004,0)+3)))</f>
        <v/>
      </c>
      <c r="C16" s="92">
        <f>IF($A16="","",IFERROR(INDEX(Items!$E$5:$E$2004,INDEX(Sales!$U$5:$U$20004,(MATCH($C$7,Sales!$B$5:$B$20004,0)+3)))&amp;"",""))</f>
        <v/>
      </c>
      <c r="D16" s="93">
        <f>IF($A16="","",INDEX(Sales!$E$5:$E$20004,(MATCH($C$7,Sales!$B$5:$B$20004,0)+3)))</f>
        <v/>
      </c>
      <c r="E16" s="92">
        <f>IF($A16="","",INDEX(Sales!$J$5:$J$20004,(MATCH($C$7,Sales!$B$5:$B$20004,0)+3)))</f>
        <v/>
      </c>
      <c r="F16" s="94">
        <f>IF($A16="","",INDEX(Sales!$K$5:$K$20004,(MATCH($C$7,Sales!$B$5:$B$20004,0)+3)))</f>
        <v/>
      </c>
      <c r="G16" s="95">
        <f>IF($A16="","",N(INDEX(Sales!$G$5:$G$20004,(MATCH($C$7,Sales!$B$5:$B$20004,0)+3))))</f>
        <v/>
      </c>
      <c r="H16" s="94">
        <f>IF($A16="","",INDEX(Sales!$L$5:$L$20004,(MATCH($C$7,Sales!$B$5:$B$20004,0)+3)))</f>
        <v/>
      </c>
      <c r="I16" s="96">
        <f>IF($A16="","",INDEX(Sales!$M$5:$M$20004,(MATCH($C$7,Sales!$B$5:$B$20004,0)+3)))</f>
        <v/>
      </c>
      <c r="J16" s="94">
        <f>IF($A16="","",INDEX(Sales!$N$5:$N$20004,(MATCH($C$7,Sales!$B$5:$B$20004,0)+3))+INDEX(Sales!$O$5:$O$20004,(MATCH($C$7,Sales!$B$5:$B$20004,0)+3))+INDEX(Sales!$P$5:$P$20004,(MATCH($C$7,Sales!$B$5:$B$20004,0)+3)))</f>
        <v/>
      </c>
      <c r="K16" s="94">
        <f>IF($A16="","",INDEX(Sales!$Q$5:$Q$20004,(MATCH($C$7,Sales!$B$5:$B$20004,0)+3)))</f>
        <v/>
      </c>
    </row>
    <row r="17">
      <c r="A17" s="92">
        <f>IF(IFERROR(INDEX(Sales!$B$5:$B$20004,(MATCH($C$7,Sales!$B$5:$B$20004,0)+4))=$C$7,FALSE),5,"")</f>
        <v/>
      </c>
      <c r="B17" s="92">
        <f>IF($A17="","",INDEX(Sales!$D$5:$D$20004,(MATCH($C$7,Sales!$B$5:$B$20004,0)+4)))</f>
        <v/>
      </c>
      <c r="C17" s="92">
        <f>IF($A17="","",IFERROR(INDEX(Items!$E$5:$E$2004,INDEX(Sales!$U$5:$U$20004,(MATCH($C$7,Sales!$B$5:$B$20004,0)+4)))&amp;"",""))</f>
        <v/>
      </c>
      <c r="D17" s="93">
        <f>IF($A17="","",INDEX(Sales!$E$5:$E$20004,(MATCH($C$7,Sales!$B$5:$B$20004,0)+4)))</f>
        <v/>
      </c>
      <c r="E17" s="92">
        <f>IF($A17="","",INDEX(Sales!$J$5:$J$20004,(MATCH($C$7,Sales!$B$5:$B$20004,0)+4)))</f>
        <v/>
      </c>
      <c r="F17" s="94">
        <f>IF($A17="","",INDEX(Sales!$K$5:$K$20004,(MATCH($C$7,Sales!$B$5:$B$20004,0)+4)))</f>
        <v/>
      </c>
      <c r="G17" s="95">
        <f>IF($A17="","",N(INDEX(Sales!$G$5:$G$20004,(MATCH($C$7,Sales!$B$5:$B$20004,0)+4))))</f>
        <v/>
      </c>
      <c r="H17" s="94">
        <f>IF($A17="","",INDEX(Sales!$L$5:$L$20004,(MATCH($C$7,Sales!$B$5:$B$20004,0)+4)))</f>
        <v/>
      </c>
      <c r="I17" s="96">
        <f>IF($A17="","",INDEX(Sales!$M$5:$M$20004,(MATCH($C$7,Sales!$B$5:$B$20004,0)+4)))</f>
        <v/>
      </c>
      <c r="J17" s="94">
        <f>IF($A17="","",INDEX(Sales!$N$5:$N$20004,(MATCH($C$7,Sales!$B$5:$B$20004,0)+4))+INDEX(Sales!$O$5:$O$20004,(MATCH($C$7,Sales!$B$5:$B$20004,0)+4))+INDEX(Sales!$P$5:$P$20004,(MATCH($C$7,Sales!$B$5:$B$20004,0)+4)))</f>
        <v/>
      </c>
      <c r="K17" s="94">
        <f>IF($A17="","",INDEX(Sales!$Q$5:$Q$20004,(MATCH($C$7,Sales!$B$5:$B$20004,0)+4)))</f>
        <v/>
      </c>
    </row>
    <row r="18">
      <c r="A18" s="92">
        <f>IF(IFERROR(INDEX(Sales!$B$5:$B$20004,(MATCH($C$7,Sales!$B$5:$B$20004,0)+5))=$C$7,FALSE),6,"")</f>
        <v/>
      </c>
      <c r="B18" s="92">
        <f>IF($A18="","",INDEX(Sales!$D$5:$D$20004,(MATCH($C$7,Sales!$B$5:$B$20004,0)+5)))</f>
        <v/>
      </c>
      <c r="C18" s="92">
        <f>IF($A18="","",IFERROR(INDEX(Items!$E$5:$E$2004,INDEX(Sales!$U$5:$U$20004,(MATCH($C$7,Sales!$B$5:$B$20004,0)+5)))&amp;"",""))</f>
        <v/>
      </c>
      <c r="D18" s="93">
        <f>IF($A18="","",INDEX(Sales!$E$5:$E$20004,(MATCH($C$7,Sales!$B$5:$B$20004,0)+5)))</f>
        <v/>
      </c>
      <c r="E18" s="92">
        <f>IF($A18="","",INDEX(Sales!$J$5:$J$20004,(MATCH($C$7,Sales!$B$5:$B$20004,0)+5)))</f>
        <v/>
      </c>
      <c r="F18" s="94">
        <f>IF($A18="","",INDEX(Sales!$K$5:$K$20004,(MATCH($C$7,Sales!$B$5:$B$20004,0)+5)))</f>
        <v/>
      </c>
      <c r="G18" s="95">
        <f>IF($A18="","",N(INDEX(Sales!$G$5:$G$20004,(MATCH($C$7,Sales!$B$5:$B$20004,0)+5))))</f>
        <v/>
      </c>
      <c r="H18" s="94">
        <f>IF($A18="","",INDEX(Sales!$L$5:$L$20004,(MATCH($C$7,Sales!$B$5:$B$20004,0)+5)))</f>
        <v/>
      </c>
      <c r="I18" s="96">
        <f>IF($A18="","",INDEX(Sales!$M$5:$M$20004,(MATCH($C$7,Sales!$B$5:$B$20004,0)+5)))</f>
        <v/>
      </c>
      <c r="J18" s="94">
        <f>IF($A18="","",INDEX(Sales!$N$5:$N$20004,(MATCH($C$7,Sales!$B$5:$B$20004,0)+5))+INDEX(Sales!$O$5:$O$20004,(MATCH($C$7,Sales!$B$5:$B$20004,0)+5))+INDEX(Sales!$P$5:$P$20004,(MATCH($C$7,Sales!$B$5:$B$20004,0)+5)))</f>
        <v/>
      </c>
      <c r="K18" s="94">
        <f>IF($A18="","",INDEX(Sales!$Q$5:$Q$20004,(MATCH($C$7,Sales!$B$5:$B$20004,0)+5)))</f>
        <v/>
      </c>
    </row>
    <row r="19">
      <c r="A19" s="92">
        <f>IF(IFERROR(INDEX(Sales!$B$5:$B$20004,(MATCH($C$7,Sales!$B$5:$B$20004,0)+6))=$C$7,FALSE),7,"")</f>
        <v/>
      </c>
      <c r="B19" s="92">
        <f>IF($A19="","",INDEX(Sales!$D$5:$D$20004,(MATCH($C$7,Sales!$B$5:$B$20004,0)+6)))</f>
        <v/>
      </c>
      <c r="C19" s="92">
        <f>IF($A19="","",IFERROR(INDEX(Items!$E$5:$E$2004,INDEX(Sales!$U$5:$U$20004,(MATCH($C$7,Sales!$B$5:$B$20004,0)+6)))&amp;"",""))</f>
        <v/>
      </c>
      <c r="D19" s="93">
        <f>IF($A19="","",INDEX(Sales!$E$5:$E$20004,(MATCH($C$7,Sales!$B$5:$B$20004,0)+6)))</f>
        <v/>
      </c>
      <c r="E19" s="92">
        <f>IF($A19="","",INDEX(Sales!$J$5:$J$20004,(MATCH($C$7,Sales!$B$5:$B$20004,0)+6)))</f>
        <v/>
      </c>
      <c r="F19" s="94">
        <f>IF($A19="","",INDEX(Sales!$K$5:$K$20004,(MATCH($C$7,Sales!$B$5:$B$20004,0)+6)))</f>
        <v/>
      </c>
      <c r="G19" s="95">
        <f>IF($A19="","",N(INDEX(Sales!$G$5:$G$20004,(MATCH($C$7,Sales!$B$5:$B$20004,0)+6))))</f>
        <v/>
      </c>
      <c r="H19" s="94">
        <f>IF($A19="","",INDEX(Sales!$L$5:$L$20004,(MATCH($C$7,Sales!$B$5:$B$20004,0)+6)))</f>
        <v/>
      </c>
      <c r="I19" s="96">
        <f>IF($A19="","",INDEX(Sales!$M$5:$M$20004,(MATCH($C$7,Sales!$B$5:$B$20004,0)+6)))</f>
        <v/>
      </c>
      <c r="J19" s="94">
        <f>IF($A19="","",INDEX(Sales!$N$5:$N$20004,(MATCH($C$7,Sales!$B$5:$B$20004,0)+6))+INDEX(Sales!$O$5:$O$20004,(MATCH($C$7,Sales!$B$5:$B$20004,0)+6))+INDEX(Sales!$P$5:$P$20004,(MATCH($C$7,Sales!$B$5:$B$20004,0)+6)))</f>
        <v/>
      </c>
      <c r="K19" s="94">
        <f>IF($A19="","",INDEX(Sales!$Q$5:$Q$20004,(MATCH($C$7,Sales!$B$5:$B$20004,0)+6)))</f>
        <v/>
      </c>
    </row>
    <row r="20">
      <c r="A20" s="92">
        <f>IF(IFERROR(INDEX(Sales!$B$5:$B$20004,(MATCH($C$7,Sales!$B$5:$B$20004,0)+7))=$C$7,FALSE),8,"")</f>
        <v/>
      </c>
      <c r="B20" s="92">
        <f>IF($A20="","",INDEX(Sales!$D$5:$D$20004,(MATCH($C$7,Sales!$B$5:$B$20004,0)+7)))</f>
        <v/>
      </c>
      <c r="C20" s="92">
        <f>IF($A20="","",IFERROR(INDEX(Items!$E$5:$E$2004,INDEX(Sales!$U$5:$U$20004,(MATCH($C$7,Sales!$B$5:$B$20004,0)+7)))&amp;"",""))</f>
        <v/>
      </c>
      <c r="D20" s="93">
        <f>IF($A20="","",INDEX(Sales!$E$5:$E$20004,(MATCH($C$7,Sales!$B$5:$B$20004,0)+7)))</f>
        <v/>
      </c>
      <c r="E20" s="92">
        <f>IF($A20="","",INDEX(Sales!$J$5:$J$20004,(MATCH($C$7,Sales!$B$5:$B$20004,0)+7)))</f>
        <v/>
      </c>
      <c r="F20" s="94">
        <f>IF($A20="","",INDEX(Sales!$K$5:$K$20004,(MATCH($C$7,Sales!$B$5:$B$20004,0)+7)))</f>
        <v/>
      </c>
      <c r="G20" s="95">
        <f>IF($A20="","",N(INDEX(Sales!$G$5:$G$20004,(MATCH($C$7,Sales!$B$5:$B$20004,0)+7))))</f>
        <v/>
      </c>
      <c r="H20" s="94">
        <f>IF($A20="","",INDEX(Sales!$L$5:$L$20004,(MATCH($C$7,Sales!$B$5:$B$20004,0)+7)))</f>
        <v/>
      </c>
      <c r="I20" s="96">
        <f>IF($A20="","",INDEX(Sales!$M$5:$M$20004,(MATCH($C$7,Sales!$B$5:$B$20004,0)+7)))</f>
        <v/>
      </c>
      <c r="J20" s="94">
        <f>IF($A20="","",INDEX(Sales!$N$5:$N$20004,(MATCH($C$7,Sales!$B$5:$B$20004,0)+7))+INDEX(Sales!$O$5:$O$20004,(MATCH($C$7,Sales!$B$5:$B$20004,0)+7))+INDEX(Sales!$P$5:$P$20004,(MATCH($C$7,Sales!$B$5:$B$20004,0)+7)))</f>
        <v/>
      </c>
      <c r="K20" s="94">
        <f>IF($A20="","",INDEX(Sales!$Q$5:$Q$20004,(MATCH($C$7,Sales!$B$5:$B$20004,0)+7)))</f>
        <v/>
      </c>
    </row>
    <row r="21">
      <c r="A21" s="92">
        <f>IF(IFERROR(INDEX(Sales!$B$5:$B$20004,(MATCH($C$7,Sales!$B$5:$B$20004,0)+8))=$C$7,FALSE),9,"")</f>
        <v/>
      </c>
      <c r="B21" s="92">
        <f>IF($A21="","",INDEX(Sales!$D$5:$D$20004,(MATCH($C$7,Sales!$B$5:$B$20004,0)+8)))</f>
        <v/>
      </c>
      <c r="C21" s="92">
        <f>IF($A21="","",IFERROR(INDEX(Items!$E$5:$E$2004,INDEX(Sales!$U$5:$U$20004,(MATCH($C$7,Sales!$B$5:$B$20004,0)+8)))&amp;"",""))</f>
        <v/>
      </c>
      <c r="D21" s="93">
        <f>IF($A21="","",INDEX(Sales!$E$5:$E$20004,(MATCH($C$7,Sales!$B$5:$B$20004,0)+8)))</f>
        <v/>
      </c>
      <c r="E21" s="92">
        <f>IF($A21="","",INDEX(Sales!$J$5:$J$20004,(MATCH($C$7,Sales!$B$5:$B$20004,0)+8)))</f>
        <v/>
      </c>
      <c r="F21" s="94">
        <f>IF($A21="","",INDEX(Sales!$K$5:$K$20004,(MATCH($C$7,Sales!$B$5:$B$20004,0)+8)))</f>
        <v/>
      </c>
      <c r="G21" s="95">
        <f>IF($A21="","",N(INDEX(Sales!$G$5:$G$20004,(MATCH($C$7,Sales!$B$5:$B$20004,0)+8))))</f>
        <v/>
      </c>
      <c r="H21" s="94">
        <f>IF($A21="","",INDEX(Sales!$L$5:$L$20004,(MATCH($C$7,Sales!$B$5:$B$20004,0)+8)))</f>
        <v/>
      </c>
      <c r="I21" s="96">
        <f>IF($A21="","",INDEX(Sales!$M$5:$M$20004,(MATCH($C$7,Sales!$B$5:$B$20004,0)+8)))</f>
        <v/>
      </c>
      <c r="J21" s="94">
        <f>IF($A21="","",INDEX(Sales!$N$5:$N$20004,(MATCH($C$7,Sales!$B$5:$B$20004,0)+8))+INDEX(Sales!$O$5:$O$20004,(MATCH($C$7,Sales!$B$5:$B$20004,0)+8))+INDEX(Sales!$P$5:$P$20004,(MATCH($C$7,Sales!$B$5:$B$20004,0)+8)))</f>
        <v/>
      </c>
      <c r="K21" s="94">
        <f>IF($A21="","",INDEX(Sales!$Q$5:$Q$20004,(MATCH($C$7,Sales!$B$5:$B$20004,0)+8)))</f>
        <v/>
      </c>
    </row>
    <row r="22">
      <c r="A22" s="92">
        <f>IF(IFERROR(INDEX(Sales!$B$5:$B$20004,(MATCH($C$7,Sales!$B$5:$B$20004,0)+9))=$C$7,FALSE),10,"")</f>
        <v/>
      </c>
      <c r="B22" s="92">
        <f>IF($A22="","",INDEX(Sales!$D$5:$D$20004,(MATCH($C$7,Sales!$B$5:$B$20004,0)+9)))</f>
        <v/>
      </c>
      <c r="C22" s="92">
        <f>IF($A22="","",IFERROR(INDEX(Items!$E$5:$E$2004,INDEX(Sales!$U$5:$U$20004,(MATCH($C$7,Sales!$B$5:$B$20004,0)+9)))&amp;"",""))</f>
        <v/>
      </c>
      <c r="D22" s="93">
        <f>IF($A22="","",INDEX(Sales!$E$5:$E$20004,(MATCH($C$7,Sales!$B$5:$B$20004,0)+9)))</f>
        <v/>
      </c>
      <c r="E22" s="92">
        <f>IF($A22="","",INDEX(Sales!$J$5:$J$20004,(MATCH($C$7,Sales!$B$5:$B$20004,0)+9)))</f>
        <v/>
      </c>
      <c r="F22" s="94">
        <f>IF($A22="","",INDEX(Sales!$K$5:$K$20004,(MATCH($C$7,Sales!$B$5:$B$20004,0)+9)))</f>
        <v/>
      </c>
      <c r="G22" s="95">
        <f>IF($A22="","",N(INDEX(Sales!$G$5:$G$20004,(MATCH($C$7,Sales!$B$5:$B$20004,0)+9))))</f>
        <v/>
      </c>
      <c r="H22" s="94">
        <f>IF($A22="","",INDEX(Sales!$L$5:$L$20004,(MATCH($C$7,Sales!$B$5:$B$20004,0)+9)))</f>
        <v/>
      </c>
      <c r="I22" s="96">
        <f>IF($A22="","",INDEX(Sales!$M$5:$M$20004,(MATCH($C$7,Sales!$B$5:$B$20004,0)+9)))</f>
        <v/>
      </c>
      <c r="J22" s="94">
        <f>IF($A22="","",INDEX(Sales!$N$5:$N$20004,(MATCH($C$7,Sales!$B$5:$B$20004,0)+9))+INDEX(Sales!$O$5:$O$20004,(MATCH($C$7,Sales!$B$5:$B$20004,0)+9))+INDEX(Sales!$P$5:$P$20004,(MATCH($C$7,Sales!$B$5:$B$20004,0)+9)))</f>
        <v/>
      </c>
      <c r="K22" s="94">
        <f>IF($A22="","",INDEX(Sales!$Q$5:$Q$20004,(MATCH($C$7,Sales!$B$5:$B$20004,0)+9)))</f>
        <v/>
      </c>
    </row>
    <row r="23">
      <c r="A23" s="92">
        <f>IF(IFERROR(INDEX(Sales!$B$5:$B$20004,(MATCH($C$7,Sales!$B$5:$B$20004,0)+10))=$C$7,FALSE),11,"")</f>
        <v/>
      </c>
      <c r="B23" s="92">
        <f>IF($A23="","",INDEX(Sales!$D$5:$D$20004,(MATCH($C$7,Sales!$B$5:$B$20004,0)+10)))</f>
        <v/>
      </c>
      <c r="C23" s="92">
        <f>IF($A23="","",IFERROR(INDEX(Items!$E$5:$E$2004,INDEX(Sales!$U$5:$U$20004,(MATCH($C$7,Sales!$B$5:$B$20004,0)+10)))&amp;"",""))</f>
        <v/>
      </c>
      <c r="D23" s="93">
        <f>IF($A23="","",INDEX(Sales!$E$5:$E$20004,(MATCH($C$7,Sales!$B$5:$B$20004,0)+10)))</f>
        <v/>
      </c>
      <c r="E23" s="92">
        <f>IF($A23="","",INDEX(Sales!$J$5:$J$20004,(MATCH($C$7,Sales!$B$5:$B$20004,0)+10)))</f>
        <v/>
      </c>
      <c r="F23" s="94">
        <f>IF($A23="","",INDEX(Sales!$K$5:$K$20004,(MATCH($C$7,Sales!$B$5:$B$20004,0)+10)))</f>
        <v/>
      </c>
      <c r="G23" s="95">
        <f>IF($A23="","",N(INDEX(Sales!$G$5:$G$20004,(MATCH($C$7,Sales!$B$5:$B$20004,0)+10))))</f>
        <v/>
      </c>
      <c r="H23" s="94">
        <f>IF($A23="","",INDEX(Sales!$L$5:$L$20004,(MATCH($C$7,Sales!$B$5:$B$20004,0)+10)))</f>
        <v/>
      </c>
      <c r="I23" s="96">
        <f>IF($A23="","",INDEX(Sales!$M$5:$M$20004,(MATCH($C$7,Sales!$B$5:$B$20004,0)+10)))</f>
        <v/>
      </c>
      <c r="J23" s="94">
        <f>IF($A23="","",INDEX(Sales!$N$5:$N$20004,(MATCH($C$7,Sales!$B$5:$B$20004,0)+10))+INDEX(Sales!$O$5:$O$20004,(MATCH($C$7,Sales!$B$5:$B$20004,0)+10))+INDEX(Sales!$P$5:$P$20004,(MATCH($C$7,Sales!$B$5:$B$20004,0)+10)))</f>
        <v/>
      </c>
      <c r="K23" s="94">
        <f>IF($A23="","",INDEX(Sales!$Q$5:$Q$20004,(MATCH($C$7,Sales!$B$5:$B$20004,0)+10)))</f>
        <v/>
      </c>
    </row>
    <row r="24">
      <c r="A24" s="92">
        <f>IF(IFERROR(INDEX(Sales!$B$5:$B$20004,(MATCH($C$7,Sales!$B$5:$B$20004,0)+11))=$C$7,FALSE),12,"")</f>
        <v/>
      </c>
      <c r="B24" s="92">
        <f>IF($A24="","",INDEX(Sales!$D$5:$D$20004,(MATCH($C$7,Sales!$B$5:$B$20004,0)+11)))</f>
        <v/>
      </c>
      <c r="C24" s="92">
        <f>IF($A24="","",IFERROR(INDEX(Items!$E$5:$E$2004,INDEX(Sales!$U$5:$U$20004,(MATCH($C$7,Sales!$B$5:$B$20004,0)+11)))&amp;"",""))</f>
        <v/>
      </c>
      <c r="D24" s="93">
        <f>IF($A24="","",INDEX(Sales!$E$5:$E$20004,(MATCH($C$7,Sales!$B$5:$B$20004,0)+11)))</f>
        <v/>
      </c>
      <c r="E24" s="92">
        <f>IF($A24="","",INDEX(Sales!$J$5:$J$20004,(MATCH($C$7,Sales!$B$5:$B$20004,0)+11)))</f>
        <v/>
      </c>
      <c r="F24" s="94">
        <f>IF($A24="","",INDEX(Sales!$K$5:$K$20004,(MATCH($C$7,Sales!$B$5:$B$20004,0)+11)))</f>
        <v/>
      </c>
      <c r="G24" s="95">
        <f>IF($A24="","",N(INDEX(Sales!$G$5:$G$20004,(MATCH($C$7,Sales!$B$5:$B$20004,0)+11))))</f>
        <v/>
      </c>
      <c r="H24" s="94">
        <f>IF($A24="","",INDEX(Sales!$L$5:$L$20004,(MATCH($C$7,Sales!$B$5:$B$20004,0)+11)))</f>
        <v/>
      </c>
      <c r="I24" s="96">
        <f>IF($A24="","",INDEX(Sales!$M$5:$M$20004,(MATCH($C$7,Sales!$B$5:$B$20004,0)+11)))</f>
        <v/>
      </c>
      <c r="J24" s="94">
        <f>IF($A24="","",INDEX(Sales!$N$5:$N$20004,(MATCH($C$7,Sales!$B$5:$B$20004,0)+11))+INDEX(Sales!$O$5:$O$20004,(MATCH($C$7,Sales!$B$5:$B$20004,0)+11))+INDEX(Sales!$P$5:$P$20004,(MATCH($C$7,Sales!$B$5:$B$20004,0)+11)))</f>
        <v/>
      </c>
      <c r="K24" s="94">
        <f>IF($A24="","",INDEX(Sales!$Q$5:$Q$20004,(MATCH($C$7,Sales!$B$5:$B$20004,0)+11)))</f>
        <v/>
      </c>
    </row>
    <row r="25">
      <c r="A25" s="92">
        <f>IF(IFERROR(INDEX(Sales!$B$5:$B$20004,(MATCH($C$7,Sales!$B$5:$B$20004,0)+12))=$C$7,FALSE),13,"")</f>
        <v/>
      </c>
      <c r="B25" s="92">
        <f>IF($A25="","",INDEX(Sales!$D$5:$D$20004,(MATCH($C$7,Sales!$B$5:$B$20004,0)+12)))</f>
        <v/>
      </c>
      <c r="C25" s="92">
        <f>IF($A25="","",IFERROR(INDEX(Items!$E$5:$E$2004,INDEX(Sales!$U$5:$U$20004,(MATCH($C$7,Sales!$B$5:$B$20004,0)+12)))&amp;"",""))</f>
        <v/>
      </c>
      <c r="D25" s="93">
        <f>IF($A25="","",INDEX(Sales!$E$5:$E$20004,(MATCH($C$7,Sales!$B$5:$B$20004,0)+12)))</f>
        <v/>
      </c>
      <c r="E25" s="92">
        <f>IF($A25="","",INDEX(Sales!$J$5:$J$20004,(MATCH($C$7,Sales!$B$5:$B$20004,0)+12)))</f>
        <v/>
      </c>
      <c r="F25" s="94">
        <f>IF($A25="","",INDEX(Sales!$K$5:$K$20004,(MATCH($C$7,Sales!$B$5:$B$20004,0)+12)))</f>
        <v/>
      </c>
      <c r="G25" s="95">
        <f>IF($A25="","",N(INDEX(Sales!$G$5:$G$20004,(MATCH($C$7,Sales!$B$5:$B$20004,0)+12))))</f>
        <v/>
      </c>
      <c r="H25" s="94">
        <f>IF($A25="","",INDEX(Sales!$L$5:$L$20004,(MATCH($C$7,Sales!$B$5:$B$20004,0)+12)))</f>
        <v/>
      </c>
      <c r="I25" s="96">
        <f>IF($A25="","",INDEX(Sales!$M$5:$M$20004,(MATCH($C$7,Sales!$B$5:$B$20004,0)+12)))</f>
        <v/>
      </c>
      <c r="J25" s="94">
        <f>IF($A25="","",INDEX(Sales!$N$5:$N$20004,(MATCH($C$7,Sales!$B$5:$B$20004,0)+12))+INDEX(Sales!$O$5:$O$20004,(MATCH($C$7,Sales!$B$5:$B$20004,0)+12))+INDEX(Sales!$P$5:$P$20004,(MATCH($C$7,Sales!$B$5:$B$20004,0)+12)))</f>
        <v/>
      </c>
      <c r="K25" s="94">
        <f>IF($A25="","",INDEX(Sales!$Q$5:$Q$20004,(MATCH($C$7,Sales!$B$5:$B$20004,0)+12)))</f>
        <v/>
      </c>
    </row>
    <row r="26">
      <c r="A26" s="92">
        <f>IF(IFERROR(INDEX(Sales!$B$5:$B$20004,(MATCH($C$7,Sales!$B$5:$B$20004,0)+13))=$C$7,FALSE),14,"")</f>
        <v/>
      </c>
      <c r="B26" s="92">
        <f>IF($A26="","",INDEX(Sales!$D$5:$D$20004,(MATCH($C$7,Sales!$B$5:$B$20004,0)+13)))</f>
        <v/>
      </c>
      <c r="C26" s="92">
        <f>IF($A26="","",IFERROR(INDEX(Items!$E$5:$E$2004,INDEX(Sales!$U$5:$U$20004,(MATCH($C$7,Sales!$B$5:$B$20004,0)+13)))&amp;"",""))</f>
        <v/>
      </c>
      <c r="D26" s="93">
        <f>IF($A26="","",INDEX(Sales!$E$5:$E$20004,(MATCH($C$7,Sales!$B$5:$B$20004,0)+13)))</f>
        <v/>
      </c>
      <c r="E26" s="92">
        <f>IF($A26="","",INDEX(Sales!$J$5:$J$20004,(MATCH($C$7,Sales!$B$5:$B$20004,0)+13)))</f>
        <v/>
      </c>
      <c r="F26" s="94">
        <f>IF($A26="","",INDEX(Sales!$K$5:$K$20004,(MATCH($C$7,Sales!$B$5:$B$20004,0)+13)))</f>
        <v/>
      </c>
      <c r="G26" s="95">
        <f>IF($A26="","",N(INDEX(Sales!$G$5:$G$20004,(MATCH($C$7,Sales!$B$5:$B$20004,0)+13))))</f>
        <v/>
      </c>
      <c r="H26" s="94">
        <f>IF($A26="","",INDEX(Sales!$L$5:$L$20004,(MATCH($C$7,Sales!$B$5:$B$20004,0)+13)))</f>
        <v/>
      </c>
      <c r="I26" s="96">
        <f>IF($A26="","",INDEX(Sales!$M$5:$M$20004,(MATCH($C$7,Sales!$B$5:$B$20004,0)+13)))</f>
        <v/>
      </c>
      <c r="J26" s="94">
        <f>IF($A26="","",INDEX(Sales!$N$5:$N$20004,(MATCH($C$7,Sales!$B$5:$B$20004,0)+13))+INDEX(Sales!$O$5:$O$20004,(MATCH($C$7,Sales!$B$5:$B$20004,0)+13))+INDEX(Sales!$P$5:$P$20004,(MATCH($C$7,Sales!$B$5:$B$20004,0)+13)))</f>
        <v/>
      </c>
      <c r="K26" s="94">
        <f>IF($A26="","",INDEX(Sales!$Q$5:$Q$20004,(MATCH($C$7,Sales!$B$5:$B$20004,0)+13)))</f>
        <v/>
      </c>
    </row>
    <row r="27">
      <c r="A27" s="92">
        <f>IF(IFERROR(INDEX(Sales!$B$5:$B$20004,(MATCH($C$7,Sales!$B$5:$B$20004,0)+14))=$C$7,FALSE),15,"")</f>
        <v/>
      </c>
      <c r="B27" s="92">
        <f>IF($A27="","",INDEX(Sales!$D$5:$D$20004,(MATCH($C$7,Sales!$B$5:$B$20004,0)+14)))</f>
        <v/>
      </c>
      <c r="C27" s="92">
        <f>IF($A27="","",IFERROR(INDEX(Items!$E$5:$E$2004,INDEX(Sales!$U$5:$U$20004,(MATCH($C$7,Sales!$B$5:$B$20004,0)+14)))&amp;"",""))</f>
        <v/>
      </c>
      <c r="D27" s="93">
        <f>IF($A27="","",INDEX(Sales!$E$5:$E$20004,(MATCH($C$7,Sales!$B$5:$B$20004,0)+14)))</f>
        <v/>
      </c>
      <c r="E27" s="92">
        <f>IF($A27="","",INDEX(Sales!$J$5:$J$20004,(MATCH($C$7,Sales!$B$5:$B$20004,0)+14)))</f>
        <v/>
      </c>
      <c r="F27" s="94">
        <f>IF($A27="","",INDEX(Sales!$K$5:$K$20004,(MATCH($C$7,Sales!$B$5:$B$20004,0)+14)))</f>
        <v/>
      </c>
      <c r="G27" s="95">
        <f>IF($A27="","",N(INDEX(Sales!$G$5:$G$20004,(MATCH($C$7,Sales!$B$5:$B$20004,0)+14))))</f>
        <v/>
      </c>
      <c r="H27" s="94">
        <f>IF($A27="","",INDEX(Sales!$L$5:$L$20004,(MATCH($C$7,Sales!$B$5:$B$20004,0)+14)))</f>
        <v/>
      </c>
      <c r="I27" s="96">
        <f>IF($A27="","",INDEX(Sales!$M$5:$M$20004,(MATCH($C$7,Sales!$B$5:$B$20004,0)+14)))</f>
        <v/>
      </c>
      <c r="J27" s="94">
        <f>IF($A27="","",INDEX(Sales!$N$5:$N$20004,(MATCH($C$7,Sales!$B$5:$B$20004,0)+14))+INDEX(Sales!$O$5:$O$20004,(MATCH($C$7,Sales!$B$5:$B$20004,0)+14))+INDEX(Sales!$P$5:$P$20004,(MATCH($C$7,Sales!$B$5:$B$20004,0)+14)))</f>
        <v/>
      </c>
      <c r="K27" s="94">
        <f>IF($A27="","",INDEX(Sales!$Q$5:$Q$20004,(MATCH($C$7,Sales!$B$5:$B$20004,0)+14)))</f>
        <v/>
      </c>
    </row>
    <row r="28">
      <c r="A28" s="92">
        <f>IF(IFERROR(INDEX(Sales!$B$5:$B$20004,(MATCH($C$7,Sales!$B$5:$B$20004,0)+15))=$C$7,FALSE),16,"")</f>
        <v/>
      </c>
      <c r="B28" s="92">
        <f>IF($A28="","",INDEX(Sales!$D$5:$D$20004,(MATCH($C$7,Sales!$B$5:$B$20004,0)+15)))</f>
        <v/>
      </c>
      <c r="C28" s="92">
        <f>IF($A28="","",IFERROR(INDEX(Items!$E$5:$E$2004,INDEX(Sales!$U$5:$U$20004,(MATCH($C$7,Sales!$B$5:$B$20004,0)+15)))&amp;"",""))</f>
        <v/>
      </c>
      <c r="D28" s="93">
        <f>IF($A28="","",INDEX(Sales!$E$5:$E$20004,(MATCH($C$7,Sales!$B$5:$B$20004,0)+15)))</f>
        <v/>
      </c>
      <c r="E28" s="92">
        <f>IF($A28="","",INDEX(Sales!$J$5:$J$20004,(MATCH($C$7,Sales!$B$5:$B$20004,0)+15)))</f>
        <v/>
      </c>
      <c r="F28" s="94">
        <f>IF($A28="","",INDEX(Sales!$K$5:$K$20004,(MATCH($C$7,Sales!$B$5:$B$20004,0)+15)))</f>
        <v/>
      </c>
      <c r="G28" s="95">
        <f>IF($A28="","",N(INDEX(Sales!$G$5:$G$20004,(MATCH($C$7,Sales!$B$5:$B$20004,0)+15))))</f>
        <v/>
      </c>
      <c r="H28" s="94">
        <f>IF($A28="","",INDEX(Sales!$L$5:$L$20004,(MATCH($C$7,Sales!$B$5:$B$20004,0)+15)))</f>
        <v/>
      </c>
      <c r="I28" s="96">
        <f>IF($A28="","",INDEX(Sales!$M$5:$M$20004,(MATCH($C$7,Sales!$B$5:$B$20004,0)+15)))</f>
        <v/>
      </c>
      <c r="J28" s="94">
        <f>IF($A28="","",INDEX(Sales!$N$5:$N$20004,(MATCH($C$7,Sales!$B$5:$B$20004,0)+15))+INDEX(Sales!$O$5:$O$20004,(MATCH($C$7,Sales!$B$5:$B$20004,0)+15))+INDEX(Sales!$P$5:$P$20004,(MATCH($C$7,Sales!$B$5:$B$20004,0)+15)))</f>
        <v/>
      </c>
      <c r="K28" s="94">
        <f>IF($A28="","",INDEX(Sales!$Q$5:$Q$20004,(MATCH($C$7,Sales!$B$5:$B$20004,0)+15)))</f>
        <v/>
      </c>
    </row>
    <row r="29">
      <c r="A29" s="92">
        <f>IF(IFERROR(INDEX(Sales!$B$5:$B$20004,(MATCH($C$7,Sales!$B$5:$B$20004,0)+16))=$C$7,FALSE),17,"")</f>
        <v/>
      </c>
      <c r="B29" s="92">
        <f>IF($A29="","",INDEX(Sales!$D$5:$D$20004,(MATCH($C$7,Sales!$B$5:$B$20004,0)+16)))</f>
        <v/>
      </c>
      <c r="C29" s="92">
        <f>IF($A29="","",IFERROR(INDEX(Items!$E$5:$E$2004,INDEX(Sales!$U$5:$U$20004,(MATCH($C$7,Sales!$B$5:$B$20004,0)+16)))&amp;"",""))</f>
        <v/>
      </c>
      <c r="D29" s="93">
        <f>IF($A29="","",INDEX(Sales!$E$5:$E$20004,(MATCH($C$7,Sales!$B$5:$B$20004,0)+16)))</f>
        <v/>
      </c>
      <c r="E29" s="92">
        <f>IF($A29="","",INDEX(Sales!$J$5:$J$20004,(MATCH($C$7,Sales!$B$5:$B$20004,0)+16)))</f>
        <v/>
      </c>
      <c r="F29" s="94">
        <f>IF($A29="","",INDEX(Sales!$K$5:$K$20004,(MATCH($C$7,Sales!$B$5:$B$20004,0)+16)))</f>
        <v/>
      </c>
      <c r="G29" s="95">
        <f>IF($A29="","",N(INDEX(Sales!$G$5:$G$20004,(MATCH($C$7,Sales!$B$5:$B$20004,0)+16))))</f>
        <v/>
      </c>
      <c r="H29" s="94">
        <f>IF($A29="","",INDEX(Sales!$L$5:$L$20004,(MATCH($C$7,Sales!$B$5:$B$20004,0)+16)))</f>
        <v/>
      </c>
      <c r="I29" s="96">
        <f>IF($A29="","",INDEX(Sales!$M$5:$M$20004,(MATCH($C$7,Sales!$B$5:$B$20004,0)+16)))</f>
        <v/>
      </c>
      <c r="J29" s="94">
        <f>IF($A29="","",INDEX(Sales!$N$5:$N$20004,(MATCH($C$7,Sales!$B$5:$B$20004,0)+16))+INDEX(Sales!$O$5:$O$20004,(MATCH($C$7,Sales!$B$5:$B$20004,0)+16))+INDEX(Sales!$P$5:$P$20004,(MATCH($C$7,Sales!$B$5:$B$20004,0)+16)))</f>
        <v/>
      </c>
      <c r="K29" s="94">
        <f>IF($A29="","",INDEX(Sales!$Q$5:$Q$20004,(MATCH($C$7,Sales!$B$5:$B$20004,0)+16)))</f>
        <v/>
      </c>
    </row>
    <row r="30">
      <c r="A30" s="92">
        <f>IF(IFERROR(INDEX(Sales!$B$5:$B$20004,(MATCH($C$7,Sales!$B$5:$B$20004,0)+17))=$C$7,FALSE),18,"")</f>
        <v/>
      </c>
      <c r="B30" s="92">
        <f>IF($A30="","",INDEX(Sales!$D$5:$D$20004,(MATCH($C$7,Sales!$B$5:$B$20004,0)+17)))</f>
        <v/>
      </c>
      <c r="C30" s="92">
        <f>IF($A30="","",IFERROR(INDEX(Items!$E$5:$E$2004,INDEX(Sales!$U$5:$U$20004,(MATCH($C$7,Sales!$B$5:$B$20004,0)+17)))&amp;"",""))</f>
        <v/>
      </c>
      <c r="D30" s="93">
        <f>IF($A30="","",INDEX(Sales!$E$5:$E$20004,(MATCH($C$7,Sales!$B$5:$B$20004,0)+17)))</f>
        <v/>
      </c>
      <c r="E30" s="92">
        <f>IF($A30="","",INDEX(Sales!$J$5:$J$20004,(MATCH($C$7,Sales!$B$5:$B$20004,0)+17)))</f>
        <v/>
      </c>
      <c r="F30" s="94">
        <f>IF($A30="","",INDEX(Sales!$K$5:$K$20004,(MATCH($C$7,Sales!$B$5:$B$20004,0)+17)))</f>
        <v/>
      </c>
      <c r="G30" s="95">
        <f>IF($A30="","",N(INDEX(Sales!$G$5:$G$20004,(MATCH($C$7,Sales!$B$5:$B$20004,0)+17))))</f>
        <v/>
      </c>
      <c r="H30" s="94">
        <f>IF($A30="","",INDEX(Sales!$L$5:$L$20004,(MATCH($C$7,Sales!$B$5:$B$20004,0)+17)))</f>
        <v/>
      </c>
      <c r="I30" s="96">
        <f>IF($A30="","",INDEX(Sales!$M$5:$M$20004,(MATCH($C$7,Sales!$B$5:$B$20004,0)+17)))</f>
        <v/>
      </c>
      <c r="J30" s="94">
        <f>IF($A30="","",INDEX(Sales!$N$5:$N$20004,(MATCH($C$7,Sales!$B$5:$B$20004,0)+17))+INDEX(Sales!$O$5:$O$20004,(MATCH($C$7,Sales!$B$5:$B$20004,0)+17))+INDEX(Sales!$P$5:$P$20004,(MATCH($C$7,Sales!$B$5:$B$20004,0)+17)))</f>
        <v/>
      </c>
      <c r="K30" s="94">
        <f>IF($A30="","",INDEX(Sales!$Q$5:$Q$20004,(MATCH($C$7,Sales!$B$5:$B$20004,0)+17)))</f>
        <v/>
      </c>
    </row>
    <row r="31">
      <c r="A31" s="92">
        <f>IF(IFERROR(INDEX(Sales!$B$5:$B$20004,(MATCH($C$7,Sales!$B$5:$B$20004,0)+18))=$C$7,FALSE),19,"")</f>
        <v/>
      </c>
      <c r="B31" s="92">
        <f>IF($A31="","",INDEX(Sales!$D$5:$D$20004,(MATCH($C$7,Sales!$B$5:$B$20004,0)+18)))</f>
        <v/>
      </c>
      <c r="C31" s="92">
        <f>IF($A31="","",IFERROR(INDEX(Items!$E$5:$E$2004,INDEX(Sales!$U$5:$U$20004,(MATCH($C$7,Sales!$B$5:$B$20004,0)+18)))&amp;"",""))</f>
        <v/>
      </c>
      <c r="D31" s="93">
        <f>IF($A31="","",INDEX(Sales!$E$5:$E$20004,(MATCH($C$7,Sales!$B$5:$B$20004,0)+18)))</f>
        <v/>
      </c>
      <c r="E31" s="92">
        <f>IF($A31="","",INDEX(Sales!$J$5:$J$20004,(MATCH($C$7,Sales!$B$5:$B$20004,0)+18)))</f>
        <v/>
      </c>
      <c r="F31" s="94">
        <f>IF($A31="","",INDEX(Sales!$K$5:$K$20004,(MATCH($C$7,Sales!$B$5:$B$20004,0)+18)))</f>
        <v/>
      </c>
      <c r="G31" s="95">
        <f>IF($A31="","",N(INDEX(Sales!$G$5:$G$20004,(MATCH($C$7,Sales!$B$5:$B$20004,0)+18))))</f>
        <v/>
      </c>
      <c r="H31" s="94">
        <f>IF($A31="","",INDEX(Sales!$L$5:$L$20004,(MATCH($C$7,Sales!$B$5:$B$20004,0)+18)))</f>
        <v/>
      </c>
      <c r="I31" s="96">
        <f>IF($A31="","",INDEX(Sales!$M$5:$M$20004,(MATCH($C$7,Sales!$B$5:$B$20004,0)+18)))</f>
        <v/>
      </c>
      <c r="J31" s="94">
        <f>IF($A31="","",INDEX(Sales!$N$5:$N$20004,(MATCH($C$7,Sales!$B$5:$B$20004,0)+18))+INDEX(Sales!$O$5:$O$20004,(MATCH($C$7,Sales!$B$5:$B$20004,0)+18))+INDEX(Sales!$P$5:$P$20004,(MATCH($C$7,Sales!$B$5:$B$20004,0)+18)))</f>
        <v/>
      </c>
      <c r="K31" s="94">
        <f>IF($A31="","",INDEX(Sales!$Q$5:$Q$20004,(MATCH($C$7,Sales!$B$5:$B$20004,0)+18)))</f>
        <v/>
      </c>
    </row>
    <row r="32">
      <c r="A32" s="92">
        <f>IF(IFERROR(INDEX(Sales!$B$5:$B$20004,(MATCH($C$7,Sales!$B$5:$B$20004,0)+19))=$C$7,FALSE),20,"")</f>
        <v/>
      </c>
      <c r="B32" s="92">
        <f>IF($A32="","",INDEX(Sales!$D$5:$D$20004,(MATCH($C$7,Sales!$B$5:$B$20004,0)+19)))</f>
        <v/>
      </c>
      <c r="C32" s="92">
        <f>IF($A32="","",IFERROR(INDEX(Items!$E$5:$E$2004,INDEX(Sales!$U$5:$U$20004,(MATCH($C$7,Sales!$B$5:$B$20004,0)+19)))&amp;"",""))</f>
        <v/>
      </c>
      <c r="D32" s="93">
        <f>IF($A32="","",INDEX(Sales!$E$5:$E$20004,(MATCH($C$7,Sales!$B$5:$B$20004,0)+19)))</f>
        <v/>
      </c>
      <c r="E32" s="92">
        <f>IF($A32="","",INDEX(Sales!$J$5:$J$20004,(MATCH($C$7,Sales!$B$5:$B$20004,0)+19)))</f>
        <v/>
      </c>
      <c r="F32" s="94">
        <f>IF($A32="","",INDEX(Sales!$K$5:$K$20004,(MATCH($C$7,Sales!$B$5:$B$20004,0)+19)))</f>
        <v/>
      </c>
      <c r="G32" s="95">
        <f>IF($A32="","",N(INDEX(Sales!$G$5:$G$20004,(MATCH($C$7,Sales!$B$5:$B$20004,0)+19))))</f>
        <v/>
      </c>
      <c r="H32" s="94">
        <f>IF($A32="","",INDEX(Sales!$L$5:$L$20004,(MATCH($C$7,Sales!$B$5:$B$20004,0)+19)))</f>
        <v/>
      </c>
      <c r="I32" s="96">
        <f>IF($A32="","",INDEX(Sales!$M$5:$M$20004,(MATCH($C$7,Sales!$B$5:$B$20004,0)+19)))</f>
        <v/>
      </c>
      <c r="J32" s="94">
        <f>IF($A32="","",INDEX(Sales!$N$5:$N$20004,(MATCH($C$7,Sales!$B$5:$B$20004,0)+19))+INDEX(Sales!$O$5:$O$20004,(MATCH($C$7,Sales!$B$5:$B$20004,0)+19))+INDEX(Sales!$P$5:$P$20004,(MATCH($C$7,Sales!$B$5:$B$20004,0)+19)))</f>
        <v/>
      </c>
      <c r="K32" s="94">
        <f>IF($A32="","",INDEX(Sales!$Q$5:$Q$20004,(MATCH($C$7,Sales!$B$5:$B$20004,0)+19)))</f>
        <v/>
      </c>
    </row>
    <row r="34">
      <c r="B34" s="97">
        <f>IF(COUNTIF(A13:A32,"&gt;0")&gt;=20,"⚠ More than 20 lines: split the invoice","")</f>
        <v/>
      </c>
      <c r="H34" s="4" t="inlineStr">
        <is>
          <t>Taxable Value</t>
        </is>
      </c>
      <c r="K34" s="98">
        <f>SUMIFS(Sales!$L$5:$L$20004,Sales!$B$5:$B$20004,$C$7)</f>
        <v/>
      </c>
    </row>
    <row r="35">
      <c r="B35" s="87">
        <f>"Bank: "&amp;CoBank</f>
        <v/>
      </c>
      <c r="H35" s="4" t="inlineStr">
        <is>
          <t>CGST</t>
        </is>
      </c>
      <c r="K35" s="98">
        <f>SUMIFS(Sales!$N$5:$N$20004,Sales!$B$5:$B$20004,$C$7)</f>
        <v/>
      </c>
    </row>
    <row r="36">
      <c r="B36" s="87" t="inlineStr">
        <is>
          <t>Goods once sold will be taken back only as per store policy.</t>
        </is>
      </c>
      <c r="H36" s="4" t="inlineStr">
        <is>
          <t>SGST</t>
        </is>
      </c>
      <c r="K36" s="98">
        <f>SUMIFS(Sales!$O$5:$O$20004,Sales!$B$5:$B$20004,$C$7)</f>
        <v/>
      </c>
    </row>
    <row r="37">
      <c r="H37" s="4" t="inlineStr">
        <is>
          <t>IGST</t>
        </is>
      </c>
      <c r="K37" s="98">
        <f>SUMIFS(Sales!$P$5:$P$20004,Sales!$B$5:$B$20004,$C$7)</f>
        <v/>
      </c>
    </row>
    <row r="38">
      <c r="B38" s="87" t="inlineStr">
        <is>
          <t>Receiver's Signature</t>
        </is>
      </c>
      <c r="H38" s="4" t="inlineStr">
        <is>
          <t>Round Off</t>
        </is>
      </c>
      <c r="K38" s="98">
        <f>ROUND(SUM(K34:K37),0)-SUM(K34:K37)</f>
        <v/>
      </c>
    </row>
    <row r="39">
      <c r="H39" s="4" t="inlineStr">
        <is>
          <t>INVOICE TOTAL</t>
        </is>
      </c>
      <c r="K39" s="99">
        <f>SUM(K34:K38)</f>
        <v/>
      </c>
    </row>
    <row r="41">
      <c r="H41" s="87">
        <f>"For "&amp;CoName</f>
        <v/>
      </c>
    </row>
    <row r="43">
      <c r="H43" s="87" t="inlineStr">
        <is>
          <t>Authorised Signatory</t>
        </is>
      </c>
    </row>
  </sheetData>
  <mergeCells count="10">
    <mergeCell ref="H38:J38"/>
    <mergeCell ref="A3:K3"/>
    <mergeCell ref="H36:J36"/>
    <mergeCell ref="H37:J37"/>
    <mergeCell ref="A2:K2"/>
    <mergeCell ref="H34:J34"/>
    <mergeCell ref="H35:J35"/>
    <mergeCell ref="A5:K5"/>
    <mergeCell ref="H39:J39"/>
    <mergeCell ref="A1:K1"/>
  </mergeCells>
  <hyperlinks>
    <hyperlink xmlns:r="http://schemas.openxmlformats.org/officeDocument/2006/relationships" ref="M3" r:id="rId1"/>
  </hyperlinks>
  <pageMargins left="0.75" right="0.75" top="1" bottom="1" header="0.5" footer="0.5"/>
  <pageSetup orientation="portrait" paperSize="9" fitToHeight="1" fitToWidth="1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0000838F"/>
    <outlinePr summaryBelow="1" summaryRight="1"/>
    <pageSetUpPr/>
  </sheetPr>
  <dimension ref="A1:N3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28" customHeight="1">
      <c r="A1" s="72" t="inlineStr">
        <is>
          <t>📊  REPORTS: MONTHLY P&amp;L, GST, EXPENSES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N1" s="73" t="inlineStr">
        <is>
          <t>◀ Home</t>
        </is>
      </c>
    </row>
    <row r="2">
      <c r="A2" s="3" t="inlineStr">
        <is>
          <t>Financial-year view built from all registers. Nothing to type here.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4" ht="32" customHeight="1">
      <c r="A4" s="77" t="inlineStr">
        <is>
          <t>Month</t>
        </is>
      </c>
      <c r="B4" s="77" t="inlineStr">
        <is>
          <t>Sales (₹)</t>
        </is>
      </c>
      <c r="C4" s="77" t="inlineStr">
        <is>
          <t>COGS (₹)</t>
        </is>
      </c>
      <c r="D4" s="77" t="inlineStr">
        <is>
          <t>Gross Profit (₹)</t>
        </is>
      </c>
      <c r="E4" s="77" t="inlineStr">
        <is>
          <t>GP %</t>
        </is>
      </c>
      <c r="F4" s="77" t="inlineStr">
        <is>
          <t>Expenses (₹)</t>
        </is>
      </c>
      <c r="G4" s="77" t="inlineStr">
        <is>
          <t>Other Income (₹)</t>
        </is>
      </c>
      <c r="H4" s="77" t="inlineStr">
        <is>
          <t>Stock Loss/Gain (₹)</t>
        </is>
      </c>
      <c r="I4" s="77" t="inlineStr">
        <is>
          <t>Net Profit (₹)</t>
        </is>
      </c>
      <c r="J4" s="77" t="inlineStr">
        <is>
          <t>Purchases (₹)</t>
        </is>
      </c>
      <c r="K4" s="77" t="inlineStr">
        <is>
          <t>GST Output (₹)</t>
        </is>
      </c>
      <c r="L4" s="77" t="inlineStr">
        <is>
          <t>GST Input (₹)</t>
        </is>
      </c>
      <c r="M4" s="77" t="inlineStr">
        <is>
          <t>Net GST Payable (₹)</t>
        </is>
      </c>
    </row>
    <row r="5">
      <c r="A5" s="100">
        <f>EDATE(FYStart,0)</f>
        <v/>
      </c>
      <c r="B5" s="101">
        <f>SUMIFS(Sales!$L$5:$L$20004,Sales!$A$5:$A$20004,"&gt;="&amp;$A5,Sales!$A$5:$A$20004,"&lt;"&amp;EDATE($A5,1))</f>
        <v/>
      </c>
      <c r="C5" s="101">
        <f>SUMIFS(Sales!$R$5:$R$20004,Sales!$A$5:$A$20004,"&gt;="&amp;$A5,Sales!$A$5:$A$20004,"&lt;"&amp;EDATE($A5,1))</f>
        <v/>
      </c>
      <c r="D5" s="101">
        <f>B5-C5</f>
        <v/>
      </c>
      <c r="E5" s="95">
        <f>IF(B5=0,0,D5/B5)</f>
        <v/>
      </c>
      <c r="F5" s="101">
        <f>SUMIFS(CashBook!$G$5:$G$20004,CashBook!$C$5:$C$20004,"Expense",CashBook!$A$5:$A$20004,"&gt;="&amp;$A5,CashBook!$A$5:$A$20004,"&lt;"&amp;EDATE($A5,1))</f>
        <v/>
      </c>
      <c r="G5" s="101">
        <f>SUMIFS(CashBook!$G$5:$G$20004,CashBook!$C$5:$C$20004,"Other Income",CashBook!$A$5:$A$20004,"&gt;="&amp;$A5,CashBook!$A$5:$A$20004,"&lt;"&amp;EDATE($A5,1))</f>
        <v/>
      </c>
      <c r="H5" s="101">
        <f>SUMIFS(Adjustments!$G$5:$G$2004,Adjustments!$A$5:$A$2004,"&gt;="&amp;$A5,Adjustments!$A$5:$A$2004,"&lt;"&amp;EDATE($A5,1))</f>
        <v/>
      </c>
      <c r="I5" s="101">
        <f>D5-F5+G5+H5</f>
        <v/>
      </c>
      <c r="J5" s="101">
        <f>SUMIFS(Purchases!$K$5:$K$20004,Purchases!$A$5:$A$20004,"&gt;="&amp;$A5,Purchases!$A$5:$A$20004,"&lt;"&amp;EDATE($A5,1))</f>
        <v/>
      </c>
      <c r="K5" s="101">
        <f>SUMIFS(Sales!$N$5:$N$20004,Sales!$A$5:$A$20004,"&gt;="&amp;$A5,Sales!$A$5:$A$20004,"&lt;"&amp;EDATE($A5,1))+SUMIFS(Sales!$O$5:$O$20004,Sales!$A$5:$A$20004,"&gt;="&amp;$A5,Sales!$A$5:$A$20004,"&lt;"&amp;EDATE($A5,1))+SUMIFS(Sales!$P$5:$P$20004,Sales!$A$5:$A$20004,"&gt;="&amp;$A5,Sales!$A$5:$A$20004,"&lt;"&amp;EDATE($A5,1))</f>
        <v/>
      </c>
      <c r="L5" s="101">
        <f>SUMIFS(Purchases!$M$5:$M$20004,Purchases!$A$5:$A$20004,"&gt;="&amp;$A5,Purchases!$A$5:$A$20004,"&lt;"&amp;EDATE($A5,1))+SUMIFS(Purchases!$N$5:$N$20004,Purchases!$A$5:$A$20004,"&gt;="&amp;$A5,Purchases!$A$5:$A$20004,"&lt;"&amp;EDATE($A5,1))+SUMIFS(Purchases!$O$5:$O$20004,Purchases!$A$5:$A$20004,"&gt;="&amp;$A5,Purchases!$A$5:$A$20004,"&lt;"&amp;EDATE($A5,1))</f>
        <v/>
      </c>
      <c r="M5" s="101">
        <f>K5-L5</f>
        <v/>
      </c>
    </row>
    <row r="6">
      <c r="A6" s="100">
        <f>EDATE(FYStart,1)</f>
        <v/>
      </c>
      <c r="B6" s="101">
        <f>SUMIFS(Sales!$L$5:$L$20004,Sales!$A$5:$A$20004,"&gt;="&amp;$A6,Sales!$A$5:$A$20004,"&lt;"&amp;EDATE($A6,1))</f>
        <v/>
      </c>
      <c r="C6" s="101">
        <f>SUMIFS(Sales!$R$5:$R$20004,Sales!$A$5:$A$20004,"&gt;="&amp;$A6,Sales!$A$5:$A$20004,"&lt;"&amp;EDATE($A6,1))</f>
        <v/>
      </c>
      <c r="D6" s="101">
        <f>B6-C6</f>
        <v/>
      </c>
      <c r="E6" s="95">
        <f>IF(B6=0,0,D6/B6)</f>
        <v/>
      </c>
      <c r="F6" s="101">
        <f>SUMIFS(CashBook!$G$5:$G$20004,CashBook!$C$5:$C$20004,"Expense",CashBook!$A$5:$A$20004,"&gt;="&amp;$A6,CashBook!$A$5:$A$20004,"&lt;"&amp;EDATE($A6,1))</f>
        <v/>
      </c>
      <c r="G6" s="101">
        <f>SUMIFS(CashBook!$G$5:$G$20004,CashBook!$C$5:$C$20004,"Other Income",CashBook!$A$5:$A$20004,"&gt;="&amp;$A6,CashBook!$A$5:$A$20004,"&lt;"&amp;EDATE($A6,1))</f>
        <v/>
      </c>
      <c r="H6" s="101">
        <f>SUMIFS(Adjustments!$G$5:$G$2004,Adjustments!$A$5:$A$2004,"&gt;="&amp;$A6,Adjustments!$A$5:$A$2004,"&lt;"&amp;EDATE($A6,1))</f>
        <v/>
      </c>
      <c r="I6" s="101">
        <f>D6-F6+G6+H6</f>
        <v/>
      </c>
      <c r="J6" s="101">
        <f>SUMIFS(Purchases!$K$5:$K$20004,Purchases!$A$5:$A$20004,"&gt;="&amp;$A6,Purchases!$A$5:$A$20004,"&lt;"&amp;EDATE($A6,1))</f>
        <v/>
      </c>
      <c r="K6" s="101">
        <f>SUMIFS(Sales!$N$5:$N$20004,Sales!$A$5:$A$20004,"&gt;="&amp;$A6,Sales!$A$5:$A$20004,"&lt;"&amp;EDATE($A6,1))+SUMIFS(Sales!$O$5:$O$20004,Sales!$A$5:$A$20004,"&gt;="&amp;$A6,Sales!$A$5:$A$20004,"&lt;"&amp;EDATE($A6,1))+SUMIFS(Sales!$P$5:$P$20004,Sales!$A$5:$A$20004,"&gt;="&amp;$A6,Sales!$A$5:$A$20004,"&lt;"&amp;EDATE($A6,1))</f>
        <v/>
      </c>
      <c r="L6" s="101">
        <f>SUMIFS(Purchases!$M$5:$M$20004,Purchases!$A$5:$A$20004,"&gt;="&amp;$A6,Purchases!$A$5:$A$20004,"&lt;"&amp;EDATE($A6,1))+SUMIFS(Purchases!$N$5:$N$20004,Purchases!$A$5:$A$20004,"&gt;="&amp;$A6,Purchases!$A$5:$A$20004,"&lt;"&amp;EDATE($A6,1))+SUMIFS(Purchases!$O$5:$O$20004,Purchases!$A$5:$A$20004,"&gt;="&amp;$A6,Purchases!$A$5:$A$20004,"&lt;"&amp;EDATE($A6,1))</f>
        <v/>
      </c>
      <c r="M6" s="101">
        <f>K6-L6</f>
        <v/>
      </c>
    </row>
    <row r="7">
      <c r="A7" s="100">
        <f>EDATE(FYStart,2)</f>
        <v/>
      </c>
      <c r="B7" s="101">
        <f>SUMIFS(Sales!$L$5:$L$20004,Sales!$A$5:$A$20004,"&gt;="&amp;$A7,Sales!$A$5:$A$20004,"&lt;"&amp;EDATE($A7,1))</f>
        <v/>
      </c>
      <c r="C7" s="101">
        <f>SUMIFS(Sales!$R$5:$R$20004,Sales!$A$5:$A$20004,"&gt;="&amp;$A7,Sales!$A$5:$A$20004,"&lt;"&amp;EDATE($A7,1))</f>
        <v/>
      </c>
      <c r="D7" s="101">
        <f>B7-C7</f>
        <v/>
      </c>
      <c r="E7" s="95">
        <f>IF(B7=0,0,D7/B7)</f>
        <v/>
      </c>
      <c r="F7" s="101">
        <f>SUMIFS(CashBook!$G$5:$G$20004,CashBook!$C$5:$C$20004,"Expense",CashBook!$A$5:$A$20004,"&gt;="&amp;$A7,CashBook!$A$5:$A$20004,"&lt;"&amp;EDATE($A7,1))</f>
        <v/>
      </c>
      <c r="G7" s="101">
        <f>SUMIFS(CashBook!$G$5:$G$20004,CashBook!$C$5:$C$20004,"Other Income",CashBook!$A$5:$A$20004,"&gt;="&amp;$A7,CashBook!$A$5:$A$20004,"&lt;"&amp;EDATE($A7,1))</f>
        <v/>
      </c>
      <c r="H7" s="101">
        <f>SUMIFS(Adjustments!$G$5:$G$2004,Adjustments!$A$5:$A$2004,"&gt;="&amp;$A7,Adjustments!$A$5:$A$2004,"&lt;"&amp;EDATE($A7,1))</f>
        <v/>
      </c>
      <c r="I7" s="101">
        <f>D7-F7+G7+H7</f>
        <v/>
      </c>
      <c r="J7" s="101">
        <f>SUMIFS(Purchases!$K$5:$K$20004,Purchases!$A$5:$A$20004,"&gt;="&amp;$A7,Purchases!$A$5:$A$20004,"&lt;"&amp;EDATE($A7,1))</f>
        <v/>
      </c>
      <c r="K7" s="101">
        <f>SUMIFS(Sales!$N$5:$N$20004,Sales!$A$5:$A$20004,"&gt;="&amp;$A7,Sales!$A$5:$A$20004,"&lt;"&amp;EDATE($A7,1))+SUMIFS(Sales!$O$5:$O$20004,Sales!$A$5:$A$20004,"&gt;="&amp;$A7,Sales!$A$5:$A$20004,"&lt;"&amp;EDATE($A7,1))+SUMIFS(Sales!$P$5:$P$20004,Sales!$A$5:$A$20004,"&gt;="&amp;$A7,Sales!$A$5:$A$20004,"&lt;"&amp;EDATE($A7,1))</f>
        <v/>
      </c>
      <c r="L7" s="101">
        <f>SUMIFS(Purchases!$M$5:$M$20004,Purchases!$A$5:$A$20004,"&gt;="&amp;$A7,Purchases!$A$5:$A$20004,"&lt;"&amp;EDATE($A7,1))+SUMIFS(Purchases!$N$5:$N$20004,Purchases!$A$5:$A$20004,"&gt;="&amp;$A7,Purchases!$A$5:$A$20004,"&lt;"&amp;EDATE($A7,1))+SUMIFS(Purchases!$O$5:$O$20004,Purchases!$A$5:$A$20004,"&gt;="&amp;$A7,Purchases!$A$5:$A$20004,"&lt;"&amp;EDATE($A7,1))</f>
        <v/>
      </c>
      <c r="M7" s="101">
        <f>K7-L7</f>
        <v/>
      </c>
    </row>
    <row r="8">
      <c r="A8" s="100">
        <f>EDATE(FYStart,3)</f>
        <v/>
      </c>
      <c r="B8" s="101">
        <f>SUMIFS(Sales!$L$5:$L$20004,Sales!$A$5:$A$20004,"&gt;="&amp;$A8,Sales!$A$5:$A$20004,"&lt;"&amp;EDATE($A8,1))</f>
        <v/>
      </c>
      <c r="C8" s="101">
        <f>SUMIFS(Sales!$R$5:$R$20004,Sales!$A$5:$A$20004,"&gt;="&amp;$A8,Sales!$A$5:$A$20004,"&lt;"&amp;EDATE($A8,1))</f>
        <v/>
      </c>
      <c r="D8" s="101">
        <f>B8-C8</f>
        <v/>
      </c>
      <c r="E8" s="95">
        <f>IF(B8=0,0,D8/B8)</f>
        <v/>
      </c>
      <c r="F8" s="101">
        <f>SUMIFS(CashBook!$G$5:$G$20004,CashBook!$C$5:$C$20004,"Expense",CashBook!$A$5:$A$20004,"&gt;="&amp;$A8,CashBook!$A$5:$A$20004,"&lt;"&amp;EDATE($A8,1))</f>
        <v/>
      </c>
      <c r="G8" s="101">
        <f>SUMIFS(CashBook!$G$5:$G$20004,CashBook!$C$5:$C$20004,"Other Income",CashBook!$A$5:$A$20004,"&gt;="&amp;$A8,CashBook!$A$5:$A$20004,"&lt;"&amp;EDATE($A8,1))</f>
        <v/>
      </c>
      <c r="H8" s="101">
        <f>SUMIFS(Adjustments!$G$5:$G$2004,Adjustments!$A$5:$A$2004,"&gt;="&amp;$A8,Adjustments!$A$5:$A$2004,"&lt;"&amp;EDATE($A8,1))</f>
        <v/>
      </c>
      <c r="I8" s="101">
        <f>D8-F8+G8+H8</f>
        <v/>
      </c>
      <c r="J8" s="101">
        <f>SUMIFS(Purchases!$K$5:$K$20004,Purchases!$A$5:$A$20004,"&gt;="&amp;$A8,Purchases!$A$5:$A$20004,"&lt;"&amp;EDATE($A8,1))</f>
        <v/>
      </c>
      <c r="K8" s="101">
        <f>SUMIFS(Sales!$N$5:$N$20004,Sales!$A$5:$A$20004,"&gt;="&amp;$A8,Sales!$A$5:$A$20004,"&lt;"&amp;EDATE($A8,1))+SUMIFS(Sales!$O$5:$O$20004,Sales!$A$5:$A$20004,"&gt;="&amp;$A8,Sales!$A$5:$A$20004,"&lt;"&amp;EDATE($A8,1))+SUMIFS(Sales!$P$5:$P$20004,Sales!$A$5:$A$20004,"&gt;="&amp;$A8,Sales!$A$5:$A$20004,"&lt;"&amp;EDATE($A8,1))</f>
        <v/>
      </c>
      <c r="L8" s="101">
        <f>SUMIFS(Purchases!$M$5:$M$20004,Purchases!$A$5:$A$20004,"&gt;="&amp;$A8,Purchases!$A$5:$A$20004,"&lt;"&amp;EDATE($A8,1))+SUMIFS(Purchases!$N$5:$N$20004,Purchases!$A$5:$A$20004,"&gt;="&amp;$A8,Purchases!$A$5:$A$20004,"&lt;"&amp;EDATE($A8,1))+SUMIFS(Purchases!$O$5:$O$20004,Purchases!$A$5:$A$20004,"&gt;="&amp;$A8,Purchases!$A$5:$A$20004,"&lt;"&amp;EDATE($A8,1))</f>
        <v/>
      </c>
      <c r="M8" s="101">
        <f>K8-L8</f>
        <v/>
      </c>
    </row>
    <row r="9">
      <c r="A9" s="100">
        <f>EDATE(FYStart,4)</f>
        <v/>
      </c>
      <c r="B9" s="101">
        <f>SUMIFS(Sales!$L$5:$L$20004,Sales!$A$5:$A$20004,"&gt;="&amp;$A9,Sales!$A$5:$A$20004,"&lt;"&amp;EDATE($A9,1))</f>
        <v/>
      </c>
      <c r="C9" s="101">
        <f>SUMIFS(Sales!$R$5:$R$20004,Sales!$A$5:$A$20004,"&gt;="&amp;$A9,Sales!$A$5:$A$20004,"&lt;"&amp;EDATE($A9,1))</f>
        <v/>
      </c>
      <c r="D9" s="101">
        <f>B9-C9</f>
        <v/>
      </c>
      <c r="E9" s="95">
        <f>IF(B9=0,0,D9/B9)</f>
        <v/>
      </c>
      <c r="F9" s="101">
        <f>SUMIFS(CashBook!$G$5:$G$20004,CashBook!$C$5:$C$20004,"Expense",CashBook!$A$5:$A$20004,"&gt;="&amp;$A9,CashBook!$A$5:$A$20004,"&lt;"&amp;EDATE($A9,1))</f>
        <v/>
      </c>
      <c r="G9" s="101">
        <f>SUMIFS(CashBook!$G$5:$G$20004,CashBook!$C$5:$C$20004,"Other Income",CashBook!$A$5:$A$20004,"&gt;="&amp;$A9,CashBook!$A$5:$A$20004,"&lt;"&amp;EDATE($A9,1))</f>
        <v/>
      </c>
      <c r="H9" s="101">
        <f>SUMIFS(Adjustments!$G$5:$G$2004,Adjustments!$A$5:$A$2004,"&gt;="&amp;$A9,Adjustments!$A$5:$A$2004,"&lt;"&amp;EDATE($A9,1))</f>
        <v/>
      </c>
      <c r="I9" s="101">
        <f>D9-F9+G9+H9</f>
        <v/>
      </c>
      <c r="J9" s="101">
        <f>SUMIFS(Purchases!$K$5:$K$20004,Purchases!$A$5:$A$20004,"&gt;="&amp;$A9,Purchases!$A$5:$A$20004,"&lt;"&amp;EDATE($A9,1))</f>
        <v/>
      </c>
      <c r="K9" s="101">
        <f>SUMIFS(Sales!$N$5:$N$20004,Sales!$A$5:$A$20004,"&gt;="&amp;$A9,Sales!$A$5:$A$20004,"&lt;"&amp;EDATE($A9,1))+SUMIFS(Sales!$O$5:$O$20004,Sales!$A$5:$A$20004,"&gt;="&amp;$A9,Sales!$A$5:$A$20004,"&lt;"&amp;EDATE($A9,1))+SUMIFS(Sales!$P$5:$P$20004,Sales!$A$5:$A$20004,"&gt;="&amp;$A9,Sales!$A$5:$A$20004,"&lt;"&amp;EDATE($A9,1))</f>
        <v/>
      </c>
      <c r="L9" s="101">
        <f>SUMIFS(Purchases!$M$5:$M$20004,Purchases!$A$5:$A$20004,"&gt;="&amp;$A9,Purchases!$A$5:$A$20004,"&lt;"&amp;EDATE($A9,1))+SUMIFS(Purchases!$N$5:$N$20004,Purchases!$A$5:$A$20004,"&gt;="&amp;$A9,Purchases!$A$5:$A$20004,"&lt;"&amp;EDATE($A9,1))+SUMIFS(Purchases!$O$5:$O$20004,Purchases!$A$5:$A$20004,"&gt;="&amp;$A9,Purchases!$A$5:$A$20004,"&lt;"&amp;EDATE($A9,1))</f>
        <v/>
      </c>
      <c r="M9" s="101">
        <f>K9-L9</f>
        <v/>
      </c>
    </row>
    <row r="10">
      <c r="A10" s="100">
        <f>EDATE(FYStart,5)</f>
        <v/>
      </c>
      <c r="B10" s="101">
        <f>SUMIFS(Sales!$L$5:$L$20004,Sales!$A$5:$A$20004,"&gt;="&amp;$A10,Sales!$A$5:$A$20004,"&lt;"&amp;EDATE($A10,1))</f>
        <v/>
      </c>
      <c r="C10" s="101">
        <f>SUMIFS(Sales!$R$5:$R$20004,Sales!$A$5:$A$20004,"&gt;="&amp;$A10,Sales!$A$5:$A$20004,"&lt;"&amp;EDATE($A10,1))</f>
        <v/>
      </c>
      <c r="D10" s="101">
        <f>B10-C10</f>
        <v/>
      </c>
      <c r="E10" s="95">
        <f>IF(B10=0,0,D10/B10)</f>
        <v/>
      </c>
      <c r="F10" s="101">
        <f>SUMIFS(CashBook!$G$5:$G$20004,CashBook!$C$5:$C$20004,"Expense",CashBook!$A$5:$A$20004,"&gt;="&amp;$A10,CashBook!$A$5:$A$20004,"&lt;"&amp;EDATE($A10,1))</f>
        <v/>
      </c>
      <c r="G10" s="101">
        <f>SUMIFS(CashBook!$G$5:$G$20004,CashBook!$C$5:$C$20004,"Other Income",CashBook!$A$5:$A$20004,"&gt;="&amp;$A10,CashBook!$A$5:$A$20004,"&lt;"&amp;EDATE($A10,1))</f>
        <v/>
      </c>
      <c r="H10" s="101">
        <f>SUMIFS(Adjustments!$G$5:$G$2004,Adjustments!$A$5:$A$2004,"&gt;="&amp;$A10,Adjustments!$A$5:$A$2004,"&lt;"&amp;EDATE($A10,1))</f>
        <v/>
      </c>
      <c r="I10" s="101">
        <f>D10-F10+G10+H10</f>
        <v/>
      </c>
      <c r="J10" s="101">
        <f>SUMIFS(Purchases!$K$5:$K$20004,Purchases!$A$5:$A$20004,"&gt;="&amp;$A10,Purchases!$A$5:$A$20004,"&lt;"&amp;EDATE($A10,1))</f>
        <v/>
      </c>
      <c r="K10" s="101">
        <f>SUMIFS(Sales!$N$5:$N$20004,Sales!$A$5:$A$20004,"&gt;="&amp;$A10,Sales!$A$5:$A$20004,"&lt;"&amp;EDATE($A10,1))+SUMIFS(Sales!$O$5:$O$20004,Sales!$A$5:$A$20004,"&gt;="&amp;$A10,Sales!$A$5:$A$20004,"&lt;"&amp;EDATE($A10,1))+SUMIFS(Sales!$P$5:$P$20004,Sales!$A$5:$A$20004,"&gt;="&amp;$A10,Sales!$A$5:$A$20004,"&lt;"&amp;EDATE($A10,1))</f>
        <v/>
      </c>
      <c r="L10" s="101">
        <f>SUMIFS(Purchases!$M$5:$M$20004,Purchases!$A$5:$A$20004,"&gt;="&amp;$A10,Purchases!$A$5:$A$20004,"&lt;"&amp;EDATE($A10,1))+SUMIFS(Purchases!$N$5:$N$20004,Purchases!$A$5:$A$20004,"&gt;="&amp;$A10,Purchases!$A$5:$A$20004,"&lt;"&amp;EDATE($A10,1))+SUMIFS(Purchases!$O$5:$O$20004,Purchases!$A$5:$A$20004,"&gt;="&amp;$A10,Purchases!$A$5:$A$20004,"&lt;"&amp;EDATE($A10,1))</f>
        <v/>
      </c>
      <c r="M10" s="101">
        <f>K10-L10</f>
        <v/>
      </c>
    </row>
    <row r="11">
      <c r="A11" s="100">
        <f>EDATE(FYStart,6)</f>
        <v/>
      </c>
      <c r="B11" s="101">
        <f>SUMIFS(Sales!$L$5:$L$20004,Sales!$A$5:$A$20004,"&gt;="&amp;$A11,Sales!$A$5:$A$20004,"&lt;"&amp;EDATE($A11,1))</f>
        <v/>
      </c>
      <c r="C11" s="101">
        <f>SUMIFS(Sales!$R$5:$R$20004,Sales!$A$5:$A$20004,"&gt;="&amp;$A11,Sales!$A$5:$A$20004,"&lt;"&amp;EDATE($A11,1))</f>
        <v/>
      </c>
      <c r="D11" s="101">
        <f>B11-C11</f>
        <v/>
      </c>
      <c r="E11" s="95">
        <f>IF(B11=0,0,D11/B11)</f>
        <v/>
      </c>
      <c r="F11" s="101">
        <f>SUMIFS(CashBook!$G$5:$G$20004,CashBook!$C$5:$C$20004,"Expense",CashBook!$A$5:$A$20004,"&gt;="&amp;$A11,CashBook!$A$5:$A$20004,"&lt;"&amp;EDATE($A11,1))</f>
        <v/>
      </c>
      <c r="G11" s="101">
        <f>SUMIFS(CashBook!$G$5:$G$20004,CashBook!$C$5:$C$20004,"Other Income",CashBook!$A$5:$A$20004,"&gt;="&amp;$A11,CashBook!$A$5:$A$20004,"&lt;"&amp;EDATE($A11,1))</f>
        <v/>
      </c>
      <c r="H11" s="101">
        <f>SUMIFS(Adjustments!$G$5:$G$2004,Adjustments!$A$5:$A$2004,"&gt;="&amp;$A11,Adjustments!$A$5:$A$2004,"&lt;"&amp;EDATE($A11,1))</f>
        <v/>
      </c>
      <c r="I11" s="101">
        <f>D11-F11+G11+H11</f>
        <v/>
      </c>
      <c r="J11" s="101">
        <f>SUMIFS(Purchases!$K$5:$K$20004,Purchases!$A$5:$A$20004,"&gt;="&amp;$A11,Purchases!$A$5:$A$20004,"&lt;"&amp;EDATE($A11,1))</f>
        <v/>
      </c>
      <c r="K11" s="101">
        <f>SUMIFS(Sales!$N$5:$N$20004,Sales!$A$5:$A$20004,"&gt;="&amp;$A11,Sales!$A$5:$A$20004,"&lt;"&amp;EDATE($A11,1))+SUMIFS(Sales!$O$5:$O$20004,Sales!$A$5:$A$20004,"&gt;="&amp;$A11,Sales!$A$5:$A$20004,"&lt;"&amp;EDATE($A11,1))+SUMIFS(Sales!$P$5:$P$20004,Sales!$A$5:$A$20004,"&gt;="&amp;$A11,Sales!$A$5:$A$20004,"&lt;"&amp;EDATE($A11,1))</f>
        <v/>
      </c>
      <c r="L11" s="101">
        <f>SUMIFS(Purchases!$M$5:$M$20004,Purchases!$A$5:$A$20004,"&gt;="&amp;$A11,Purchases!$A$5:$A$20004,"&lt;"&amp;EDATE($A11,1))+SUMIFS(Purchases!$N$5:$N$20004,Purchases!$A$5:$A$20004,"&gt;="&amp;$A11,Purchases!$A$5:$A$20004,"&lt;"&amp;EDATE($A11,1))+SUMIFS(Purchases!$O$5:$O$20004,Purchases!$A$5:$A$20004,"&gt;="&amp;$A11,Purchases!$A$5:$A$20004,"&lt;"&amp;EDATE($A11,1))</f>
        <v/>
      </c>
      <c r="M11" s="101">
        <f>K11-L11</f>
        <v/>
      </c>
    </row>
    <row r="12">
      <c r="A12" s="100">
        <f>EDATE(FYStart,7)</f>
        <v/>
      </c>
      <c r="B12" s="101">
        <f>SUMIFS(Sales!$L$5:$L$20004,Sales!$A$5:$A$20004,"&gt;="&amp;$A12,Sales!$A$5:$A$20004,"&lt;"&amp;EDATE($A12,1))</f>
        <v/>
      </c>
      <c r="C12" s="101">
        <f>SUMIFS(Sales!$R$5:$R$20004,Sales!$A$5:$A$20004,"&gt;="&amp;$A12,Sales!$A$5:$A$20004,"&lt;"&amp;EDATE($A12,1))</f>
        <v/>
      </c>
      <c r="D12" s="101">
        <f>B12-C12</f>
        <v/>
      </c>
      <c r="E12" s="95">
        <f>IF(B12=0,0,D12/B12)</f>
        <v/>
      </c>
      <c r="F12" s="101">
        <f>SUMIFS(CashBook!$G$5:$G$20004,CashBook!$C$5:$C$20004,"Expense",CashBook!$A$5:$A$20004,"&gt;="&amp;$A12,CashBook!$A$5:$A$20004,"&lt;"&amp;EDATE($A12,1))</f>
        <v/>
      </c>
      <c r="G12" s="101">
        <f>SUMIFS(CashBook!$G$5:$G$20004,CashBook!$C$5:$C$20004,"Other Income",CashBook!$A$5:$A$20004,"&gt;="&amp;$A12,CashBook!$A$5:$A$20004,"&lt;"&amp;EDATE($A12,1))</f>
        <v/>
      </c>
      <c r="H12" s="101">
        <f>SUMIFS(Adjustments!$G$5:$G$2004,Adjustments!$A$5:$A$2004,"&gt;="&amp;$A12,Adjustments!$A$5:$A$2004,"&lt;"&amp;EDATE($A12,1))</f>
        <v/>
      </c>
      <c r="I12" s="101">
        <f>D12-F12+G12+H12</f>
        <v/>
      </c>
      <c r="J12" s="101">
        <f>SUMIFS(Purchases!$K$5:$K$20004,Purchases!$A$5:$A$20004,"&gt;="&amp;$A12,Purchases!$A$5:$A$20004,"&lt;"&amp;EDATE($A12,1))</f>
        <v/>
      </c>
      <c r="K12" s="101">
        <f>SUMIFS(Sales!$N$5:$N$20004,Sales!$A$5:$A$20004,"&gt;="&amp;$A12,Sales!$A$5:$A$20004,"&lt;"&amp;EDATE($A12,1))+SUMIFS(Sales!$O$5:$O$20004,Sales!$A$5:$A$20004,"&gt;="&amp;$A12,Sales!$A$5:$A$20004,"&lt;"&amp;EDATE($A12,1))+SUMIFS(Sales!$P$5:$P$20004,Sales!$A$5:$A$20004,"&gt;="&amp;$A12,Sales!$A$5:$A$20004,"&lt;"&amp;EDATE($A12,1))</f>
        <v/>
      </c>
      <c r="L12" s="101">
        <f>SUMIFS(Purchases!$M$5:$M$20004,Purchases!$A$5:$A$20004,"&gt;="&amp;$A12,Purchases!$A$5:$A$20004,"&lt;"&amp;EDATE($A12,1))+SUMIFS(Purchases!$N$5:$N$20004,Purchases!$A$5:$A$20004,"&gt;="&amp;$A12,Purchases!$A$5:$A$20004,"&lt;"&amp;EDATE($A12,1))+SUMIFS(Purchases!$O$5:$O$20004,Purchases!$A$5:$A$20004,"&gt;="&amp;$A12,Purchases!$A$5:$A$20004,"&lt;"&amp;EDATE($A12,1))</f>
        <v/>
      </c>
      <c r="M12" s="101">
        <f>K12-L12</f>
        <v/>
      </c>
    </row>
    <row r="13">
      <c r="A13" s="100">
        <f>EDATE(FYStart,8)</f>
        <v/>
      </c>
      <c r="B13" s="101">
        <f>SUMIFS(Sales!$L$5:$L$20004,Sales!$A$5:$A$20004,"&gt;="&amp;$A13,Sales!$A$5:$A$20004,"&lt;"&amp;EDATE($A13,1))</f>
        <v/>
      </c>
      <c r="C13" s="101">
        <f>SUMIFS(Sales!$R$5:$R$20004,Sales!$A$5:$A$20004,"&gt;="&amp;$A13,Sales!$A$5:$A$20004,"&lt;"&amp;EDATE($A13,1))</f>
        <v/>
      </c>
      <c r="D13" s="101">
        <f>B13-C13</f>
        <v/>
      </c>
      <c r="E13" s="95">
        <f>IF(B13=0,0,D13/B13)</f>
        <v/>
      </c>
      <c r="F13" s="101">
        <f>SUMIFS(CashBook!$G$5:$G$20004,CashBook!$C$5:$C$20004,"Expense",CashBook!$A$5:$A$20004,"&gt;="&amp;$A13,CashBook!$A$5:$A$20004,"&lt;"&amp;EDATE($A13,1))</f>
        <v/>
      </c>
      <c r="G13" s="101">
        <f>SUMIFS(CashBook!$G$5:$G$20004,CashBook!$C$5:$C$20004,"Other Income",CashBook!$A$5:$A$20004,"&gt;="&amp;$A13,CashBook!$A$5:$A$20004,"&lt;"&amp;EDATE($A13,1))</f>
        <v/>
      </c>
      <c r="H13" s="101">
        <f>SUMIFS(Adjustments!$G$5:$G$2004,Adjustments!$A$5:$A$2004,"&gt;="&amp;$A13,Adjustments!$A$5:$A$2004,"&lt;"&amp;EDATE($A13,1))</f>
        <v/>
      </c>
      <c r="I13" s="101">
        <f>D13-F13+G13+H13</f>
        <v/>
      </c>
      <c r="J13" s="101">
        <f>SUMIFS(Purchases!$K$5:$K$20004,Purchases!$A$5:$A$20004,"&gt;="&amp;$A13,Purchases!$A$5:$A$20004,"&lt;"&amp;EDATE($A13,1))</f>
        <v/>
      </c>
      <c r="K13" s="101">
        <f>SUMIFS(Sales!$N$5:$N$20004,Sales!$A$5:$A$20004,"&gt;="&amp;$A13,Sales!$A$5:$A$20004,"&lt;"&amp;EDATE($A13,1))+SUMIFS(Sales!$O$5:$O$20004,Sales!$A$5:$A$20004,"&gt;="&amp;$A13,Sales!$A$5:$A$20004,"&lt;"&amp;EDATE($A13,1))+SUMIFS(Sales!$P$5:$P$20004,Sales!$A$5:$A$20004,"&gt;="&amp;$A13,Sales!$A$5:$A$20004,"&lt;"&amp;EDATE($A13,1))</f>
        <v/>
      </c>
      <c r="L13" s="101">
        <f>SUMIFS(Purchases!$M$5:$M$20004,Purchases!$A$5:$A$20004,"&gt;="&amp;$A13,Purchases!$A$5:$A$20004,"&lt;"&amp;EDATE($A13,1))+SUMIFS(Purchases!$N$5:$N$20004,Purchases!$A$5:$A$20004,"&gt;="&amp;$A13,Purchases!$A$5:$A$20004,"&lt;"&amp;EDATE($A13,1))+SUMIFS(Purchases!$O$5:$O$20004,Purchases!$A$5:$A$20004,"&gt;="&amp;$A13,Purchases!$A$5:$A$20004,"&lt;"&amp;EDATE($A13,1))</f>
        <v/>
      </c>
      <c r="M13" s="101">
        <f>K13-L13</f>
        <v/>
      </c>
    </row>
    <row r="14">
      <c r="A14" s="100">
        <f>EDATE(FYStart,9)</f>
        <v/>
      </c>
      <c r="B14" s="101">
        <f>SUMIFS(Sales!$L$5:$L$20004,Sales!$A$5:$A$20004,"&gt;="&amp;$A14,Sales!$A$5:$A$20004,"&lt;"&amp;EDATE($A14,1))</f>
        <v/>
      </c>
      <c r="C14" s="101">
        <f>SUMIFS(Sales!$R$5:$R$20004,Sales!$A$5:$A$20004,"&gt;="&amp;$A14,Sales!$A$5:$A$20004,"&lt;"&amp;EDATE($A14,1))</f>
        <v/>
      </c>
      <c r="D14" s="101">
        <f>B14-C14</f>
        <v/>
      </c>
      <c r="E14" s="95">
        <f>IF(B14=0,0,D14/B14)</f>
        <v/>
      </c>
      <c r="F14" s="101">
        <f>SUMIFS(CashBook!$G$5:$G$20004,CashBook!$C$5:$C$20004,"Expense",CashBook!$A$5:$A$20004,"&gt;="&amp;$A14,CashBook!$A$5:$A$20004,"&lt;"&amp;EDATE($A14,1))</f>
        <v/>
      </c>
      <c r="G14" s="101">
        <f>SUMIFS(CashBook!$G$5:$G$20004,CashBook!$C$5:$C$20004,"Other Income",CashBook!$A$5:$A$20004,"&gt;="&amp;$A14,CashBook!$A$5:$A$20004,"&lt;"&amp;EDATE($A14,1))</f>
        <v/>
      </c>
      <c r="H14" s="101">
        <f>SUMIFS(Adjustments!$G$5:$G$2004,Adjustments!$A$5:$A$2004,"&gt;="&amp;$A14,Adjustments!$A$5:$A$2004,"&lt;"&amp;EDATE($A14,1))</f>
        <v/>
      </c>
      <c r="I14" s="101">
        <f>D14-F14+G14+H14</f>
        <v/>
      </c>
      <c r="J14" s="101">
        <f>SUMIFS(Purchases!$K$5:$K$20004,Purchases!$A$5:$A$20004,"&gt;="&amp;$A14,Purchases!$A$5:$A$20004,"&lt;"&amp;EDATE($A14,1))</f>
        <v/>
      </c>
      <c r="K14" s="101">
        <f>SUMIFS(Sales!$N$5:$N$20004,Sales!$A$5:$A$20004,"&gt;="&amp;$A14,Sales!$A$5:$A$20004,"&lt;"&amp;EDATE($A14,1))+SUMIFS(Sales!$O$5:$O$20004,Sales!$A$5:$A$20004,"&gt;="&amp;$A14,Sales!$A$5:$A$20004,"&lt;"&amp;EDATE($A14,1))+SUMIFS(Sales!$P$5:$P$20004,Sales!$A$5:$A$20004,"&gt;="&amp;$A14,Sales!$A$5:$A$20004,"&lt;"&amp;EDATE($A14,1))</f>
        <v/>
      </c>
      <c r="L14" s="101">
        <f>SUMIFS(Purchases!$M$5:$M$20004,Purchases!$A$5:$A$20004,"&gt;="&amp;$A14,Purchases!$A$5:$A$20004,"&lt;"&amp;EDATE($A14,1))+SUMIFS(Purchases!$N$5:$N$20004,Purchases!$A$5:$A$20004,"&gt;="&amp;$A14,Purchases!$A$5:$A$20004,"&lt;"&amp;EDATE($A14,1))+SUMIFS(Purchases!$O$5:$O$20004,Purchases!$A$5:$A$20004,"&gt;="&amp;$A14,Purchases!$A$5:$A$20004,"&lt;"&amp;EDATE($A14,1))</f>
        <v/>
      </c>
      <c r="M14" s="101">
        <f>K14-L14</f>
        <v/>
      </c>
    </row>
    <row r="15">
      <c r="A15" s="100">
        <f>EDATE(FYStart,10)</f>
        <v/>
      </c>
      <c r="B15" s="101">
        <f>SUMIFS(Sales!$L$5:$L$20004,Sales!$A$5:$A$20004,"&gt;="&amp;$A15,Sales!$A$5:$A$20004,"&lt;"&amp;EDATE($A15,1))</f>
        <v/>
      </c>
      <c r="C15" s="101">
        <f>SUMIFS(Sales!$R$5:$R$20004,Sales!$A$5:$A$20004,"&gt;="&amp;$A15,Sales!$A$5:$A$20004,"&lt;"&amp;EDATE($A15,1))</f>
        <v/>
      </c>
      <c r="D15" s="101">
        <f>B15-C15</f>
        <v/>
      </c>
      <c r="E15" s="95">
        <f>IF(B15=0,0,D15/B15)</f>
        <v/>
      </c>
      <c r="F15" s="101">
        <f>SUMIFS(CashBook!$G$5:$G$20004,CashBook!$C$5:$C$20004,"Expense",CashBook!$A$5:$A$20004,"&gt;="&amp;$A15,CashBook!$A$5:$A$20004,"&lt;"&amp;EDATE($A15,1))</f>
        <v/>
      </c>
      <c r="G15" s="101">
        <f>SUMIFS(CashBook!$G$5:$G$20004,CashBook!$C$5:$C$20004,"Other Income",CashBook!$A$5:$A$20004,"&gt;="&amp;$A15,CashBook!$A$5:$A$20004,"&lt;"&amp;EDATE($A15,1))</f>
        <v/>
      </c>
      <c r="H15" s="101">
        <f>SUMIFS(Adjustments!$G$5:$G$2004,Adjustments!$A$5:$A$2004,"&gt;="&amp;$A15,Adjustments!$A$5:$A$2004,"&lt;"&amp;EDATE($A15,1))</f>
        <v/>
      </c>
      <c r="I15" s="101">
        <f>D15-F15+G15+H15</f>
        <v/>
      </c>
      <c r="J15" s="101">
        <f>SUMIFS(Purchases!$K$5:$K$20004,Purchases!$A$5:$A$20004,"&gt;="&amp;$A15,Purchases!$A$5:$A$20004,"&lt;"&amp;EDATE($A15,1))</f>
        <v/>
      </c>
      <c r="K15" s="101">
        <f>SUMIFS(Sales!$N$5:$N$20004,Sales!$A$5:$A$20004,"&gt;="&amp;$A15,Sales!$A$5:$A$20004,"&lt;"&amp;EDATE($A15,1))+SUMIFS(Sales!$O$5:$O$20004,Sales!$A$5:$A$20004,"&gt;="&amp;$A15,Sales!$A$5:$A$20004,"&lt;"&amp;EDATE($A15,1))+SUMIFS(Sales!$P$5:$P$20004,Sales!$A$5:$A$20004,"&gt;="&amp;$A15,Sales!$A$5:$A$20004,"&lt;"&amp;EDATE($A15,1))</f>
        <v/>
      </c>
      <c r="L15" s="101">
        <f>SUMIFS(Purchases!$M$5:$M$20004,Purchases!$A$5:$A$20004,"&gt;="&amp;$A15,Purchases!$A$5:$A$20004,"&lt;"&amp;EDATE($A15,1))+SUMIFS(Purchases!$N$5:$N$20004,Purchases!$A$5:$A$20004,"&gt;="&amp;$A15,Purchases!$A$5:$A$20004,"&lt;"&amp;EDATE($A15,1))+SUMIFS(Purchases!$O$5:$O$20004,Purchases!$A$5:$A$20004,"&gt;="&amp;$A15,Purchases!$A$5:$A$20004,"&lt;"&amp;EDATE($A15,1))</f>
        <v/>
      </c>
      <c r="M15" s="101">
        <f>K15-L15</f>
        <v/>
      </c>
    </row>
    <row r="16">
      <c r="A16" s="100">
        <f>EDATE(FYStart,11)</f>
        <v/>
      </c>
      <c r="B16" s="101">
        <f>SUMIFS(Sales!$L$5:$L$20004,Sales!$A$5:$A$20004,"&gt;="&amp;$A16,Sales!$A$5:$A$20004,"&lt;"&amp;EDATE($A16,1))</f>
        <v/>
      </c>
      <c r="C16" s="101">
        <f>SUMIFS(Sales!$R$5:$R$20004,Sales!$A$5:$A$20004,"&gt;="&amp;$A16,Sales!$A$5:$A$20004,"&lt;"&amp;EDATE($A16,1))</f>
        <v/>
      </c>
      <c r="D16" s="101">
        <f>B16-C16</f>
        <v/>
      </c>
      <c r="E16" s="95">
        <f>IF(B16=0,0,D16/B16)</f>
        <v/>
      </c>
      <c r="F16" s="101">
        <f>SUMIFS(CashBook!$G$5:$G$20004,CashBook!$C$5:$C$20004,"Expense",CashBook!$A$5:$A$20004,"&gt;="&amp;$A16,CashBook!$A$5:$A$20004,"&lt;"&amp;EDATE($A16,1))</f>
        <v/>
      </c>
      <c r="G16" s="101">
        <f>SUMIFS(CashBook!$G$5:$G$20004,CashBook!$C$5:$C$20004,"Other Income",CashBook!$A$5:$A$20004,"&gt;="&amp;$A16,CashBook!$A$5:$A$20004,"&lt;"&amp;EDATE($A16,1))</f>
        <v/>
      </c>
      <c r="H16" s="101">
        <f>SUMIFS(Adjustments!$G$5:$G$2004,Adjustments!$A$5:$A$2004,"&gt;="&amp;$A16,Adjustments!$A$5:$A$2004,"&lt;"&amp;EDATE($A16,1))</f>
        <v/>
      </c>
      <c r="I16" s="101">
        <f>D16-F16+G16+H16</f>
        <v/>
      </c>
      <c r="J16" s="101">
        <f>SUMIFS(Purchases!$K$5:$K$20004,Purchases!$A$5:$A$20004,"&gt;="&amp;$A16,Purchases!$A$5:$A$20004,"&lt;"&amp;EDATE($A16,1))</f>
        <v/>
      </c>
      <c r="K16" s="101">
        <f>SUMIFS(Sales!$N$5:$N$20004,Sales!$A$5:$A$20004,"&gt;="&amp;$A16,Sales!$A$5:$A$20004,"&lt;"&amp;EDATE($A16,1))+SUMIFS(Sales!$O$5:$O$20004,Sales!$A$5:$A$20004,"&gt;="&amp;$A16,Sales!$A$5:$A$20004,"&lt;"&amp;EDATE($A16,1))+SUMIFS(Sales!$P$5:$P$20004,Sales!$A$5:$A$20004,"&gt;="&amp;$A16,Sales!$A$5:$A$20004,"&lt;"&amp;EDATE($A16,1))</f>
        <v/>
      </c>
      <c r="L16" s="101">
        <f>SUMIFS(Purchases!$M$5:$M$20004,Purchases!$A$5:$A$20004,"&gt;="&amp;$A16,Purchases!$A$5:$A$20004,"&lt;"&amp;EDATE($A16,1))+SUMIFS(Purchases!$N$5:$N$20004,Purchases!$A$5:$A$20004,"&gt;="&amp;$A16,Purchases!$A$5:$A$20004,"&lt;"&amp;EDATE($A16,1))+SUMIFS(Purchases!$O$5:$O$20004,Purchases!$A$5:$A$20004,"&gt;="&amp;$A16,Purchases!$A$5:$A$20004,"&lt;"&amp;EDATE($A16,1))</f>
        <v/>
      </c>
      <c r="M16" s="101">
        <f>K16-L16</f>
        <v/>
      </c>
    </row>
    <row r="17">
      <c r="A17" s="102" t="inlineStr">
        <is>
          <t>FY TOTAL</t>
        </is>
      </c>
      <c r="B17" s="103">
        <f>SUM(B5:B16)</f>
        <v/>
      </c>
      <c r="C17" s="103">
        <f>SUM(C5:C16)</f>
        <v/>
      </c>
      <c r="D17" s="103">
        <f>SUM(D5:D16)</f>
        <v/>
      </c>
      <c r="E17" s="104">
        <f>IF(B17=0,0,D17/B17)</f>
        <v/>
      </c>
      <c r="F17" s="103">
        <f>SUM(F5:F16)</f>
        <v/>
      </c>
      <c r="G17" s="103">
        <f>SUM(G5:G16)</f>
        <v/>
      </c>
      <c r="H17" s="103">
        <f>SUM(H5:H16)</f>
        <v/>
      </c>
      <c r="I17" s="103">
        <f>SUM(I5:I16)</f>
        <v/>
      </c>
      <c r="J17" s="103">
        <f>SUM(J5:J16)</f>
        <v/>
      </c>
      <c r="K17" s="103">
        <f>SUM(K5:K16)</f>
        <v/>
      </c>
      <c r="L17" s="103">
        <f>SUM(L5:L16)</f>
        <v/>
      </c>
      <c r="M17" s="103">
        <f>SUM(M5:M16)</f>
        <v/>
      </c>
    </row>
    <row r="18">
      <c r="A18" s="6" t="inlineStr">
        <is>
          <t>Net Profit = Gross Profit − Expenses + Other Income + Stock Adjustment value (losses are negative). Purchases are capitalised into stock; only COGS hits profit.</t>
        </is>
      </c>
    </row>
    <row r="21">
      <c r="A21" s="54" t="inlineStr">
        <is>
          <t>GST RATE-WISE SUMMARY (FY)  — ready for GSTR-1 / GSTR-3B</t>
        </is>
      </c>
      <c r="H21" s="54" t="inlineStr">
        <is>
          <t>EXPENSES BY HEAD (FY)</t>
        </is>
      </c>
    </row>
    <row r="22">
      <c r="A22" s="77" t="inlineStr">
        <is>
          <t>GST Rate</t>
        </is>
      </c>
      <c r="B22" s="77" t="inlineStr">
        <is>
          <t>Sales Taxable (₹)</t>
        </is>
      </c>
      <c r="C22" s="77" t="inlineStr">
        <is>
          <t>Output Tax (₹)</t>
        </is>
      </c>
      <c r="D22" s="77" t="inlineStr">
        <is>
          <t>Purch. Taxable (₹)</t>
        </is>
      </c>
      <c r="E22" s="77" t="inlineStr">
        <is>
          <t>Input Tax (₹)</t>
        </is>
      </c>
      <c r="F22" s="77" t="inlineStr">
        <is>
          <t>Net (₹)</t>
        </is>
      </c>
      <c r="H22" s="77" t="inlineStr">
        <is>
          <t>Head</t>
        </is>
      </c>
      <c r="I22" s="77" t="inlineStr">
        <is>
          <t>Amount (₹)</t>
        </is>
      </c>
      <c r="J22" s="77" t="inlineStr">
        <is>
          <t>Share</t>
        </is>
      </c>
    </row>
    <row r="23">
      <c r="A23" s="105">
        <f>IF(Settings!F5="","",Settings!F5)</f>
        <v/>
      </c>
      <c r="B23" s="106">
        <f>IF($A23="","",SUMIFS(Sales!$L$5:$L$20004,Sales!$M$5:$M$20004,$A23,Sales!$A$5:$A$20004,"&gt;="&amp;FYStart,Sales!$A$5:$A$20004,"&lt;"&amp;EDATE(FYStart,12)))</f>
        <v/>
      </c>
      <c r="C23" s="106">
        <f>IF($A23="","",SUMIFS(Sales!$N$5:$N$20004,Sales!$M$5:$M$20004,$A23,Sales!$A$5:$A$20004,"&gt;="&amp;FYStart,Sales!$A$5:$A$20004,"&lt;"&amp;EDATE(FYStart,12))+SUMIFS(Sales!$O$5:$O$20004,Sales!$M$5:$M$20004,$A23,Sales!$A$5:$A$20004,"&gt;="&amp;FYStart,Sales!$A$5:$A$20004,"&lt;"&amp;EDATE(FYStart,12))+SUMIFS(Sales!$P$5:$P$20004,Sales!$M$5:$M$20004,$A23,Sales!$A$5:$A$20004,"&gt;="&amp;FYStart,Sales!$A$5:$A$20004,"&lt;"&amp;EDATE(FYStart,12)))</f>
        <v/>
      </c>
      <c r="D23" s="106">
        <f>IF($A23="","",SUMIFS(Purchases!$K$5:$K$20004,Purchases!$L$5:$L$20004,$A23,Purchases!$A$5:$A$20004,"&gt;="&amp;FYStart,Purchases!$A$5:$A$20004,"&lt;"&amp;EDATE(FYStart,12)))</f>
        <v/>
      </c>
      <c r="E23" s="106">
        <f>IF($A23="","",SUMIFS(Purchases!$M$5:$M$20004,Purchases!$L$5:$L$20004,$A23,Purchases!$A$5:$A$20004,"&gt;="&amp;FYStart,Purchases!$A$5:$A$20004,"&lt;"&amp;EDATE(FYStart,12))+SUMIFS(Purchases!$N$5:$N$20004,Purchases!$L$5:$L$20004,$A23,Purchases!$A$5:$A$20004,"&gt;="&amp;FYStart,Purchases!$A$5:$A$20004,"&lt;"&amp;EDATE(FYStart,12))+SUMIFS(Purchases!$O$5:$O$20004,Purchases!$L$5:$L$20004,$A23,Purchases!$A$5:$A$20004,"&gt;="&amp;FYStart,Purchases!$A$5:$A$20004,"&lt;"&amp;EDATE(FYStart,12)))</f>
        <v/>
      </c>
      <c r="F23" s="106">
        <f>IF($A23="","",C23-E23)</f>
        <v/>
      </c>
      <c r="H23" s="107">
        <f>IF(Settings!I5="","",Settings!I5)</f>
        <v/>
      </c>
      <c r="I23" s="106">
        <f>IF(H23="","",SUMIFS(CashBook!$G$5:$G$20004,CashBook!$C$5:$C$20004,"Expense",CashBook!$E$5:$E$20004,H23,CashBook!$A$5:$A$20004,"&gt;="&amp;FYStart,CashBook!$A$5:$A$20004,"&lt;"&amp;EDATE(FYStart,12)))</f>
        <v/>
      </c>
      <c r="J23" s="108">
        <f>IF(H23="","",IF(SUM($I$23:$I$34)=0,0,I23/SUM($I$23:$I$34)))</f>
        <v/>
      </c>
    </row>
    <row r="24">
      <c r="A24" s="105">
        <f>IF(Settings!F6="","",Settings!F6)</f>
        <v/>
      </c>
      <c r="B24" s="106">
        <f>IF($A24="","",SUMIFS(Sales!$L$5:$L$20004,Sales!$M$5:$M$20004,$A24,Sales!$A$5:$A$20004,"&gt;="&amp;FYStart,Sales!$A$5:$A$20004,"&lt;"&amp;EDATE(FYStart,12)))</f>
        <v/>
      </c>
      <c r="C24" s="106">
        <f>IF($A24="","",SUMIFS(Sales!$N$5:$N$20004,Sales!$M$5:$M$20004,$A24,Sales!$A$5:$A$20004,"&gt;="&amp;FYStart,Sales!$A$5:$A$20004,"&lt;"&amp;EDATE(FYStart,12))+SUMIFS(Sales!$O$5:$O$20004,Sales!$M$5:$M$20004,$A24,Sales!$A$5:$A$20004,"&gt;="&amp;FYStart,Sales!$A$5:$A$20004,"&lt;"&amp;EDATE(FYStart,12))+SUMIFS(Sales!$P$5:$P$20004,Sales!$M$5:$M$20004,$A24,Sales!$A$5:$A$20004,"&gt;="&amp;FYStart,Sales!$A$5:$A$20004,"&lt;"&amp;EDATE(FYStart,12)))</f>
        <v/>
      </c>
      <c r="D24" s="106">
        <f>IF($A24="","",SUMIFS(Purchases!$K$5:$K$20004,Purchases!$L$5:$L$20004,$A24,Purchases!$A$5:$A$20004,"&gt;="&amp;FYStart,Purchases!$A$5:$A$20004,"&lt;"&amp;EDATE(FYStart,12)))</f>
        <v/>
      </c>
      <c r="E24" s="106">
        <f>IF($A24="","",SUMIFS(Purchases!$M$5:$M$20004,Purchases!$L$5:$L$20004,$A24,Purchases!$A$5:$A$20004,"&gt;="&amp;FYStart,Purchases!$A$5:$A$20004,"&lt;"&amp;EDATE(FYStart,12))+SUMIFS(Purchases!$N$5:$N$20004,Purchases!$L$5:$L$20004,$A24,Purchases!$A$5:$A$20004,"&gt;="&amp;FYStart,Purchases!$A$5:$A$20004,"&lt;"&amp;EDATE(FYStart,12))+SUMIFS(Purchases!$O$5:$O$20004,Purchases!$L$5:$L$20004,$A24,Purchases!$A$5:$A$20004,"&gt;="&amp;FYStart,Purchases!$A$5:$A$20004,"&lt;"&amp;EDATE(FYStart,12)))</f>
        <v/>
      </c>
      <c r="F24" s="106">
        <f>IF($A24="","",C24-E24)</f>
        <v/>
      </c>
      <c r="H24" s="107">
        <f>IF(Settings!I6="","",Settings!I6)</f>
        <v/>
      </c>
      <c r="I24" s="106">
        <f>IF(H24="","",SUMIFS(CashBook!$G$5:$G$20004,CashBook!$C$5:$C$20004,"Expense",CashBook!$E$5:$E$20004,H24,CashBook!$A$5:$A$20004,"&gt;="&amp;FYStart,CashBook!$A$5:$A$20004,"&lt;"&amp;EDATE(FYStart,12)))</f>
        <v/>
      </c>
      <c r="J24" s="108">
        <f>IF(H24="","",IF(SUM($I$23:$I$34)=0,0,I24/SUM($I$23:$I$34)))</f>
        <v/>
      </c>
    </row>
    <row r="25">
      <c r="A25" s="105">
        <f>IF(Settings!F7="","",Settings!F7)</f>
        <v/>
      </c>
      <c r="B25" s="106">
        <f>IF($A25="","",SUMIFS(Sales!$L$5:$L$20004,Sales!$M$5:$M$20004,$A25,Sales!$A$5:$A$20004,"&gt;="&amp;FYStart,Sales!$A$5:$A$20004,"&lt;"&amp;EDATE(FYStart,12)))</f>
        <v/>
      </c>
      <c r="C25" s="106">
        <f>IF($A25="","",SUMIFS(Sales!$N$5:$N$20004,Sales!$M$5:$M$20004,$A25,Sales!$A$5:$A$20004,"&gt;="&amp;FYStart,Sales!$A$5:$A$20004,"&lt;"&amp;EDATE(FYStart,12))+SUMIFS(Sales!$O$5:$O$20004,Sales!$M$5:$M$20004,$A25,Sales!$A$5:$A$20004,"&gt;="&amp;FYStart,Sales!$A$5:$A$20004,"&lt;"&amp;EDATE(FYStart,12))+SUMIFS(Sales!$P$5:$P$20004,Sales!$M$5:$M$20004,$A25,Sales!$A$5:$A$20004,"&gt;="&amp;FYStart,Sales!$A$5:$A$20004,"&lt;"&amp;EDATE(FYStart,12)))</f>
        <v/>
      </c>
      <c r="D25" s="106">
        <f>IF($A25="","",SUMIFS(Purchases!$K$5:$K$20004,Purchases!$L$5:$L$20004,$A25,Purchases!$A$5:$A$20004,"&gt;="&amp;FYStart,Purchases!$A$5:$A$20004,"&lt;"&amp;EDATE(FYStart,12)))</f>
        <v/>
      </c>
      <c r="E25" s="106">
        <f>IF($A25="","",SUMIFS(Purchases!$M$5:$M$20004,Purchases!$L$5:$L$20004,$A25,Purchases!$A$5:$A$20004,"&gt;="&amp;FYStart,Purchases!$A$5:$A$20004,"&lt;"&amp;EDATE(FYStart,12))+SUMIFS(Purchases!$N$5:$N$20004,Purchases!$L$5:$L$20004,$A25,Purchases!$A$5:$A$20004,"&gt;="&amp;FYStart,Purchases!$A$5:$A$20004,"&lt;"&amp;EDATE(FYStart,12))+SUMIFS(Purchases!$O$5:$O$20004,Purchases!$L$5:$L$20004,$A25,Purchases!$A$5:$A$20004,"&gt;="&amp;FYStart,Purchases!$A$5:$A$20004,"&lt;"&amp;EDATE(FYStart,12)))</f>
        <v/>
      </c>
      <c r="F25" s="106">
        <f>IF($A25="","",C25-E25)</f>
        <v/>
      </c>
      <c r="H25" s="107">
        <f>IF(Settings!I7="","",Settings!I7)</f>
        <v/>
      </c>
      <c r="I25" s="106">
        <f>IF(H25="","",SUMIFS(CashBook!$G$5:$G$20004,CashBook!$C$5:$C$20004,"Expense",CashBook!$E$5:$E$20004,H25,CashBook!$A$5:$A$20004,"&gt;="&amp;FYStart,CashBook!$A$5:$A$20004,"&lt;"&amp;EDATE(FYStart,12)))</f>
        <v/>
      </c>
      <c r="J25" s="108">
        <f>IF(H25="","",IF(SUM($I$23:$I$34)=0,0,I25/SUM($I$23:$I$34)))</f>
        <v/>
      </c>
    </row>
    <row r="26">
      <c r="A26" s="105">
        <f>IF(Settings!F8="","",Settings!F8)</f>
        <v/>
      </c>
      <c r="B26" s="106">
        <f>IF($A26="","",SUMIFS(Sales!$L$5:$L$20004,Sales!$M$5:$M$20004,$A26,Sales!$A$5:$A$20004,"&gt;="&amp;FYStart,Sales!$A$5:$A$20004,"&lt;"&amp;EDATE(FYStart,12)))</f>
        <v/>
      </c>
      <c r="C26" s="106">
        <f>IF($A26="","",SUMIFS(Sales!$N$5:$N$20004,Sales!$M$5:$M$20004,$A26,Sales!$A$5:$A$20004,"&gt;="&amp;FYStart,Sales!$A$5:$A$20004,"&lt;"&amp;EDATE(FYStart,12))+SUMIFS(Sales!$O$5:$O$20004,Sales!$M$5:$M$20004,$A26,Sales!$A$5:$A$20004,"&gt;="&amp;FYStart,Sales!$A$5:$A$20004,"&lt;"&amp;EDATE(FYStart,12))+SUMIFS(Sales!$P$5:$P$20004,Sales!$M$5:$M$20004,$A26,Sales!$A$5:$A$20004,"&gt;="&amp;FYStart,Sales!$A$5:$A$20004,"&lt;"&amp;EDATE(FYStart,12)))</f>
        <v/>
      </c>
      <c r="D26" s="106">
        <f>IF($A26="","",SUMIFS(Purchases!$K$5:$K$20004,Purchases!$L$5:$L$20004,$A26,Purchases!$A$5:$A$20004,"&gt;="&amp;FYStart,Purchases!$A$5:$A$20004,"&lt;"&amp;EDATE(FYStart,12)))</f>
        <v/>
      </c>
      <c r="E26" s="106">
        <f>IF($A26="","",SUMIFS(Purchases!$M$5:$M$20004,Purchases!$L$5:$L$20004,$A26,Purchases!$A$5:$A$20004,"&gt;="&amp;FYStart,Purchases!$A$5:$A$20004,"&lt;"&amp;EDATE(FYStart,12))+SUMIFS(Purchases!$N$5:$N$20004,Purchases!$L$5:$L$20004,$A26,Purchases!$A$5:$A$20004,"&gt;="&amp;FYStart,Purchases!$A$5:$A$20004,"&lt;"&amp;EDATE(FYStart,12))+SUMIFS(Purchases!$O$5:$O$20004,Purchases!$L$5:$L$20004,$A26,Purchases!$A$5:$A$20004,"&gt;="&amp;FYStart,Purchases!$A$5:$A$20004,"&lt;"&amp;EDATE(FYStart,12)))</f>
        <v/>
      </c>
      <c r="F26" s="106">
        <f>IF($A26="","",C26-E26)</f>
        <v/>
      </c>
      <c r="H26" s="107">
        <f>IF(Settings!I8="","",Settings!I8)</f>
        <v/>
      </c>
      <c r="I26" s="106">
        <f>IF(H26="","",SUMIFS(CashBook!$G$5:$G$20004,CashBook!$C$5:$C$20004,"Expense",CashBook!$E$5:$E$20004,H26,CashBook!$A$5:$A$20004,"&gt;="&amp;FYStart,CashBook!$A$5:$A$20004,"&lt;"&amp;EDATE(FYStart,12)))</f>
        <v/>
      </c>
      <c r="J26" s="108">
        <f>IF(H26="","",IF(SUM($I$23:$I$34)=0,0,I26/SUM($I$23:$I$34)))</f>
        <v/>
      </c>
    </row>
    <row r="27">
      <c r="A27" s="105">
        <f>IF(Settings!F9="","",Settings!F9)</f>
        <v/>
      </c>
      <c r="B27" s="106">
        <f>IF($A27="","",SUMIFS(Sales!$L$5:$L$20004,Sales!$M$5:$M$20004,$A27,Sales!$A$5:$A$20004,"&gt;="&amp;FYStart,Sales!$A$5:$A$20004,"&lt;"&amp;EDATE(FYStart,12)))</f>
        <v/>
      </c>
      <c r="C27" s="106">
        <f>IF($A27="","",SUMIFS(Sales!$N$5:$N$20004,Sales!$M$5:$M$20004,$A27,Sales!$A$5:$A$20004,"&gt;="&amp;FYStart,Sales!$A$5:$A$20004,"&lt;"&amp;EDATE(FYStart,12))+SUMIFS(Sales!$O$5:$O$20004,Sales!$M$5:$M$20004,$A27,Sales!$A$5:$A$20004,"&gt;="&amp;FYStart,Sales!$A$5:$A$20004,"&lt;"&amp;EDATE(FYStart,12))+SUMIFS(Sales!$P$5:$P$20004,Sales!$M$5:$M$20004,$A27,Sales!$A$5:$A$20004,"&gt;="&amp;FYStart,Sales!$A$5:$A$20004,"&lt;"&amp;EDATE(FYStart,12)))</f>
        <v/>
      </c>
      <c r="D27" s="106">
        <f>IF($A27="","",SUMIFS(Purchases!$K$5:$K$20004,Purchases!$L$5:$L$20004,$A27,Purchases!$A$5:$A$20004,"&gt;="&amp;FYStart,Purchases!$A$5:$A$20004,"&lt;"&amp;EDATE(FYStart,12)))</f>
        <v/>
      </c>
      <c r="E27" s="106">
        <f>IF($A27="","",SUMIFS(Purchases!$M$5:$M$20004,Purchases!$L$5:$L$20004,$A27,Purchases!$A$5:$A$20004,"&gt;="&amp;FYStart,Purchases!$A$5:$A$20004,"&lt;"&amp;EDATE(FYStart,12))+SUMIFS(Purchases!$N$5:$N$20004,Purchases!$L$5:$L$20004,$A27,Purchases!$A$5:$A$20004,"&gt;="&amp;FYStart,Purchases!$A$5:$A$20004,"&lt;"&amp;EDATE(FYStart,12))+SUMIFS(Purchases!$O$5:$O$20004,Purchases!$L$5:$L$20004,$A27,Purchases!$A$5:$A$20004,"&gt;="&amp;FYStart,Purchases!$A$5:$A$20004,"&lt;"&amp;EDATE(FYStart,12)))</f>
        <v/>
      </c>
      <c r="F27" s="106">
        <f>IF($A27="","",C27-E27)</f>
        <v/>
      </c>
      <c r="H27" s="107">
        <f>IF(Settings!I9="","",Settings!I9)</f>
        <v/>
      </c>
      <c r="I27" s="106">
        <f>IF(H27="","",SUMIFS(CashBook!$G$5:$G$20004,CashBook!$C$5:$C$20004,"Expense",CashBook!$E$5:$E$20004,H27,CashBook!$A$5:$A$20004,"&gt;="&amp;FYStart,CashBook!$A$5:$A$20004,"&lt;"&amp;EDATE(FYStart,12)))</f>
        <v/>
      </c>
      <c r="J27" s="108">
        <f>IF(H27="","",IF(SUM($I$23:$I$34)=0,0,I27/SUM($I$23:$I$34)))</f>
        <v/>
      </c>
    </row>
    <row r="28">
      <c r="A28" s="105">
        <f>IF(Settings!F10="","",Settings!F10)</f>
        <v/>
      </c>
      <c r="B28" s="106">
        <f>IF($A28="","",SUMIFS(Sales!$L$5:$L$20004,Sales!$M$5:$M$20004,$A28,Sales!$A$5:$A$20004,"&gt;="&amp;FYStart,Sales!$A$5:$A$20004,"&lt;"&amp;EDATE(FYStart,12)))</f>
        <v/>
      </c>
      <c r="C28" s="106">
        <f>IF($A28="","",SUMIFS(Sales!$N$5:$N$20004,Sales!$M$5:$M$20004,$A28,Sales!$A$5:$A$20004,"&gt;="&amp;FYStart,Sales!$A$5:$A$20004,"&lt;"&amp;EDATE(FYStart,12))+SUMIFS(Sales!$O$5:$O$20004,Sales!$M$5:$M$20004,$A28,Sales!$A$5:$A$20004,"&gt;="&amp;FYStart,Sales!$A$5:$A$20004,"&lt;"&amp;EDATE(FYStart,12))+SUMIFS(Sales!$P$5:$P$20004,Sales!$M$5:$M$20004,$A28,Sales!$A$5:$A$20004,"&gt;="&amp;FYStart,Sales!$A$5:$A$20004,"&lt;"&amp;EDATE(FYStart,12)))</f>
        <v/>
      </c>
      <c r="D28" s="106">
        <f>IF($A28="","",SUMIFS(Purchases!$K$5:$K$20004,Purchases!$L$5:$L$20004,$A28,Purchases!$A$5:$A$20004,"&gt;="&amp;FYStart,Purchases!$A$5:$A$20004,"&lt;"&amp;EDATE(FYStart,12)))</f>
        <v/>
      </c>
      <c r="E28" s="106">
        <f>IF($A28="","",SUMIFS(Purchases!$M$5:$M$20004,Purchases!$L$5:$L$20004,$A28,Purchases!$A$5:$A$20004,"&gt;="&amp;FYStart,Purchases!$A$5:$A$20004,"&lt;"&amp;EDATE(FYStart,12))+SUMIFS(Purchases!$N$5:$N$20004,Purchases!$L$5:$L$20004,$A28,Purchases!$A$5:$A$20004,"&gt;="&amp;FYStart,Purchases!$A$5:$A$20004,"&lt;"&amp;EDATE(FYStart,12))+SUMIFS(Purchases!$O$5:$O$20004,Purchases!$L$5:$L$20004,$A28,Purchases!$A$5:$A$20004,"&gt;="&amp;FYStart,Purchases!$A$5:$A$20004,"&lt;"&amp;EDATE(FYStart,12)))</f>
        <v/>
      </c>
      <c r="F28" s="106">
        <f>IF($A28="","",C28-E28)</f>
        <v/>
      </c>
      <c r="H28" s="107">
        <f>IF(Settings!I10="","",Settings!I10)</f>
        <v/>
      </c>
      <c r="I28" s="106">
        <f>IF(H28="","",SUMIFS(CashBook!$G$5:$G$20004,CashBook!$C$5:$C$20004,"Expense",CashBook!$E$5:$E$20004,H28,CashBook!$A$5:$A$20004,"&gt;="&amp;FYStart,CashBook!$A$5:$A$20004,"&lt;"&amp;EDATE(FYStart,12)))</f>
        <v/>
      </c>
      <c r="J28" s="108">
        <f>IF(H28="","",IF(SUM($I$23:$I$34)=0,0,I28/SUM($I$23:$I$34)))</f>
        <v/>
      </c>
    </row>
    <row r="29">
      <c r="A29" s="105">
        <f>IF(Settings!F11="","",Settings!F11)</f>
        <v/>
      </c>
      <c r="B29" s="106">
        <f>IF($A29="","",SUMIFS(Sales!$L$5:$L$20004,Sales!$M$5:$M$20004,$A29,Sales!$A$5:$A$20004,"&gt;="&amp;FYStart,Sales!$A$5:$A$20004,"&lt;"&amp;EDATE(FYStart,12)))</f>
        <v/>
      </c>
      <c r="C29" s="106">
        <f>IF($A29="","",SUMIFS(Sales!$N$5:$N$20004,Sales!$M$5:$M$20004,$A29,Sales!$A$5:$A$20004,"&gt;="&amp;FYStart,Sales!$A$5:$A$20004,"&lt;"&amp;EDATE(FYStart,12))+SUMIFS(Sales!$O$5:$O$20004,Sales!$M$5:$M$20004,$A29,Sales!$A$5:$A$20004,"&gt;="&amp;FYStart,Sales!$A$5:$A$20004,"&lt;"&amp;EDATE(FYStart,12))+SUMIFS(Sales!$P$5:$P$20004,Sales!$M$5:$M$20004,$A29,Sales!$A$5:$A$20004,"&gt;="&amp;FYStart,Sales!$A$5:$A$20004,"&lt;"&amp;EDATE(FYStart,12)))</f>
        <v/>
      </c>
      <c r="D29" s="106">
        <f>IF($A29="","",SUMIFS(Purchases!$K$5:$K$20004,Purchases!$L$5:$L$20004,$A29,Purchases!$A$5:$A$20004,"&gt;="&amp;FYStart,Purchases!$A$5:$A$20004,"&lt;"&amp;EDATE(FYStart,12)))</f>
        <v/>
      </c>
      <c r="E29" s="106">
        <f>IF($A29="","",SUMIFS(Purchases!$M$5:$M$20004,Purchases!$L$5:$L$20004,$A29,Purchases!$A$5:$A$20004,"&gt;="&amp;FYStart,Purchases!$A$5:$A$20004,"&lt;"&amp;EDATE(FYStart,12))+SUMIFS(Purchases!$N$5:$N$20004,Purchases!$L$5:$L$20004,$A29,Purchases!$A$5:$A$20004,"&gt;="&amp;FYStart,Purchases!$A$5:$A$20004,"&lt;"&amp;EDATE(FYStart,12))+SUMIFS(Purchases!$O$5:$O$20004,Purchases!$L$5:$L$20004,$A29,Purchases!$A$5:$A$20004,"&gt;="&amp;FYStart,Purchases!$A$5:$A$20004,"&lt;"&amp;EDATE(FYStart,12)))</f>
        <v/>
      </c>
      <c r="F29" s="106">
        <f>IF($A29="","",C29-E29)</f>
        <v/>
      </c>
      <c r="H29" s="107">
        <f>IF(Settings!I11="","",Settings!I11)</f>
        <v/>
      </c>
      <c r="I29" s="106">
        <f>IF(H29="","",SUMIFS(CashBook!$G$5:$G$20004,CashBook!$C$5:$C$20004,"Expense",CashBook!$E$5:$E$20004,H29,CashBook!$A$5:$A$20004,"&gt;="&amp;FYStart,CashBook!$A$5:$A$20004,"&lt;"&amp;EDATE(FYStart,12)))</f>
        <v/>
      </c>
      <c r="J29" s="108">
        <f>IF(H29="","",IF(SUM($I$23:$I$34)=0,0,I29/SUM($I$23:$I$34)))</f>
        <v/>
      </c>
    </row>
    <row r="30">
      <c r="A30" s="105">
        <f>IF(Settings!F12="","",Settings!F12)</f>
        <v/>
      </c>
      <c r="B30" s="106">
        <f>IF($A30="","",SUMIFS(Sales!$L$5:$L$20004,Sales!$M$5:$M$20004,$A30,Sales!$A$5:$A$20004,"&gt;="&amp;FYStart,Sales!$A$5:$A$20004,"&lt;"&amp;EDATE(FYStart,12)))</f>
        <v/>
      </c>
      <c r="C30" s="106">
        <f>IF($A30="","",SUMIFS(Sales!$N$5:$N$20004,Sales!$M$5:$M$20004,$A30,Sales!$A$5:$A$20004,"&gt;="&amp;FYStart,Sales!$A$5:$A$20004,"&lt;"&amp;EDATE(FYStart,12))+SUMIFS(Sales!$O$5:$O$20004,Sales!$M$5:$M$20004,$A30,Sales!$A$5:$A$20004,"&gt;="&amp;FYStart,Sales!$A$5:$A$20004,"&lt;"&amp;EDATE(FYStart,12))+SUMIFS(Sales!$P$5:$P$20004,Sales!$M$5:$M$20004,$A30,Sales!$A$5:$A$20004,"&gt;="&amp;FYStart,Sales!$A$5:$A$20004,"&lt;"&amp;EDATE(FYStart,12)))</f>
        <v/>
      </c>
      <c r="D30" s="106">
        <f>IF($A30="","",SUMIFS(Purchases!$K$5:$K$20004,Purchases!$L$5:$L$20004,$A30,Purchases!$A$5:$A$20004,"&gt;="&amp;FYStart,Purchases!$A$5:$A$20004,"&lt;"&amp;EDATE(FYStart,12)))</f>
        <v/>
      </c>
      <c r="E30" s="106">
        <f>IF($A30="","",SUMIFS(Purchases!$M$5:$M$20004,Purchases!$L$5:$L$20004,$A30,Purchases!$A$5:$A$20004,"&gt;="&amp;FYStart,Purchases!$A$5:$A$20004,"&lt;"&amp;EDATE(FYStart,12))+SUMIFS(Purchases!$N$5:$N$20004,Purchases!$L$5:$L$20004,$A30,Purchases!$A$5:$A$20004,"&gt;="&amp;FYStart,Purchases!$A$5:$A$20004,"&lt;"&amp;EDATE(FYStart,12))+SUMIFS(Purchases!$O$5:$O$20004,Purchases!$L$5:$L$20004,$A30,Purchases!$A$5:$A$20004,"&gt;="&amp;FYStart,Purchases!$A$5:$A$20004,"&lt;"&amp;EDATE(FYStart,12)))</f>
        <v/>
      </c>
      <c r="F30" s="106">
        <f>IF($A30="","",C30-E30)</f>
        <v/>
      </c>
      <c r="H30" s="107">
        <f>IF(Settings!I12="","",Settings!I12)</f>
        <v/>
      </c>
      <c r="I30" s="106">
        <f>IF(H30="","",SUMIFS(CashBook!$G$5:$G$20004,CashBook!$C$5:$C$20004,"Expense",CashBook!$E$5:$E$20004,H30,CashBook!$A$5:$A$20004,"&gt;="&amp;FYStart,CashBook!$A$5:$A$20004,"&lt;"&amp;EDATE(FYStart,12)))</f>
        <v/>
      </c>
      <c r="J30" s="108">
        <f>IF(H30="","",IF(SUM($I$23:$I$34)=0,0,I30/SUM($I$23:$I$34)))</f>
        <v/>
      </c>
    </row>
    <row r="31">
      <c r="H31" s="107">
        <f>IF(Settings!I13="","",Settings!I13)</f>
        <v/>
      </c>
      <c r="I31" s="106">
        <f>IF(H31="","",SUMIFS(CashBook!$G$5:$G$20004,CashBook!$C$5:$C$20004,"Expense",CashBook!$E$5:$E$20004,H31,CashBook!$A$5:$A$20004,"&gt;="&amp;FYStart,CashBook!$A$5:$A$20004,"&lt;"&amp;EDATE(FYStart,12)))</f>
        <v/>
      </c>
      <c r="J31" s="108">
        <f>IF(H31="","",IF(SUM($I$23:$I$34)=0,0,I31/SUM($I$23:$I$34)))</f>
        <v/>
      </c>
    </row>
    <row r="32">
      <c r="H32" s="107">
        <f>IF(Settings!I14="","",Settings!I14)</f>
        <v/>
      </c>
      <c r="I32" s="106">
        <f>IF(H32="","",SUMIFS(CashBook!$G$5:$G$20004,CashBook!$C$5:$C$20004,"Expense",CashBook!$E$5:$E$20004,H32,CashBook!$A$5:$A$20004,"&gt;="&amp;FYStart,CashBook!$A$5:$A$20004,"&lt;"&amp;EDATE(FYStart,12)))</f>
        <v/>
      </c>
      <c r="J32" s="108">
        <f>IF(H32="","",IF(SUM($I$23:$I$34)=0,0,I32/SUM($I$23:$I$34)))</f>
        <v/>
      </c>
    </row>
    <row r="33">
      <c r="H33" s="107">
        <f>IF(Settings!I15="","",Settings!I15)</f>
        <v/>
      </c>
      <c r="I33" s="106">
        <f>IF(H33="","",SUMIFS(CashBook!$G$5:$G$20004,CashBook!$C$5:$C$20004,"Expense",CashBook!$E$5:$E$20004,H33,CashBook!$A$5:$A$20004,"&gt;="&amp;FYStart,CashBook!$A$5:$A$20004,"&lt;"&amp;EDATE(FYStart,12)))</f>
        <v/>
      </c>
      <c r="J33" s="108">
        <f>IF(H33="","",IF(SUM($I$23:$I$34)=0,0,I33/SUM($I$23:$I$34)))</f>
        <v/>
      </c>
    </row>
    <row r="34">
      <c r="H34" s="107">
        <f>IF(Settings!I16="","",Settings!I16)</f>
        <v/>
      </c>
      <c r="I34" s="106">
        <f>IF(H34="","",SUMIFS(CashBook!$G$5:$G$20004,CashBook!$C$5:$C$20004,"Expense",CashBook!$E$5:$E$20004,H34,CashBook!$A$5:$A$20004,"&gt;="&amp;FYStart,CashBook!$A$5:$A$20004,"&lt;"&amp;EDATE(FYStart,12)))</f>
        <v/>
      </c>
      <c r="J34" s="108">
        <f>IF(H34="","",IF(SUM($I$23:$I$34)=0,0,I34/SUM($I$23:$I$34)))</f>
        <v/>
      </c>
    </row>
  </sheetData>
  <mergeCells count="2">
    <mergeCell ref="A2:L2"/>
    <mergeCell ref="A1:L1"/>
  </mergeCells>
  <hyperlinks>
    <hyperlink xmlns:r="http://schemas.openxmlformats.org/officeDocument/2006/relationships" ref="N1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757575"/>
    <outlinePr summaryBelow="1" summaryRight="1"/>
    <pageSetUpPr/>
  </sheetPr>
  <dimension ref="A1:N4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30" customWidth="1" min="13" max="13"/>
  </cols>
  <sheetData>
    <row r="1" ht="28" customHeight="1">
      <c r="A1" s="72" t="inlineStr">
        <is>
          <t>⚙  SETTINGS &amp; MASTER LISTS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N1" s="73" t="inlineStr">
        <is>
          <t>◀ Home</t>
        </is>
      </c>
    </row>
    <row r="2">
      <c r="A2" s="3" t="inlineStr">
        <is>
          <t>Set this up once. Every list here feeds the dropdowns across the ERP.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F3" s="6" t="inlineStr">
        <is>
          <t>GST slabs: 5/18/40% apply post GST-2.0 (Sep-2025); 12/28% kept for legacy items.</t>
        </is>
      </c>
    </row>
    <row r="4">
      <c r="A4" s="4" t="inlineStr">
        <is>
          <t>Company Name</t>
        </is>
      </c>
      <c r="B4" s="109" t="inlineStr">
        <is>
          <t>Your Trading Co.</t>
        </is>
      </c>
      <c r="D4" s="55" t="inlineStr">
        <is>
          <t>Categories</t>
        </is>
      </c>
      <c r="E4" s="55" t="inlineStr">
        <is>
          <t>Units</t>
        </is>
      </c>
      <c r="F4" s="55" t="inlineStr">
        <is>
          <t>GST Rates</t>
        </is>
      </c>
      <c r="G4" s="55" t="inlineStr">
        <is>
          <t>Pay Modes</t>
        </is>
      </c>
      <c r="H4" s="55" t="inlineStr">
        <is>
          <t>Voucher Types</t>
        </is>
      </c>
      <c r="I4" s="55" t="inlineStr">
        <is>
          <t>Expense Heads</t>
        </is>
      </c>
      <c r="J4" s="55" t="inlineStr">
        <is>
          <t>Party Types</t>
        </is>
      </c>
      <c r="K4" s="55" t="inlineStr">
        <is>
          <t>Delivery Status</t>
        </is>
      </c>
      <c r="L4" s="55" t="inlineStr">
        <is>
          <t>Adj. Reasons</t>
        </is>
      </c>
      <c r="M4" s="55" t="inlineStr">
        <is>
          <t>States</t>
        </is>
      </c>
    </row>
    <row r="5">
      <c r="A5" s="4" t="inlineStr">
        <is>
          <t>Address</t>
        </is>
      </c>
      <c r="B5" s="109" t="inlineStr">
        <is>
          <t>Shop 12, Main Market, Jaipur</t>
        </is>
      </c>
      <c r="D5" s="109" t="inlineStr">
        <is>
          <t>Grocery</t>
        </is>
      </c>
      <c r="E5" s="109" t="inlineStr">
        <is>
          <t>Pcs</t>
        </is>
      </c>
      <c r="F5" s="110" t="n">
        <v>0</v>
      </c>
      <c r="G5" s="109" t="inlineStr">
        <is>
          <t>Credit</t>
        </is>
      </c>
      <c r="H5" s="109" t="inlineStr">
        <is>
          <t>Receipt</t>
        </is>
      </c>
      <c r="I5" s="109" t="inlineStr">
        <is>
          <t>Rent</t>
        </is>
      </c>
      <c r="J5" s="109" t="inlineStr">
        <is>
          <t>Customer</t>
        </is>
      </c>
      <c r="K5" s="109" t="inlineStr">
        <is>
          <t>Pending</t>
        </is>
      </c>
      <c r="L5" s="109" t="inlineStr">
        <is>
          <t>Damage</t>
        </is>
      </c>
      <c r="M5" s="109" t="inlineStr">
        <is>
          <t>Andhra Pradesh</t>
        </is>
      </c>
    </row>
    <row r="6">
      <c r="A6" s="4" t="inlineStr">
        <is>
          <t>GSTIN</t>
        </is>
      </c>
      <c r="B6" s="109" t="inlineStr">
        <is>
          <t>08ABCDE1234F1Z5</t>
        </is>
      </c>
      <c r="D6" s="109" t="inlineStr">
        <is>
          <t>FMCG</t>
        </is>
      </c>
      <c r="E6" s="109" t="inlineStr">
        <is>
          <t>Kg</t>
        </is>
      </c>
      <c r="F6" s="110" t="n">
        <v>0.05</v>
      </c>
      <c r="G6" s="109" t="inlineStr">
        <is>
          <t>Cash</t>
        </is>
      </c>
      <c r="H6" s="109" t="inlineStr">
        <is>
          <t>Payment</t>
        </is>
      </c>
      <c r="I6" s="109" t="inlineStr">
        <is>
          <t>Salary</t>
        </is>
      </c>
      <c r="J6" s="109" t="inlineStr">
        <is>
          <t>Supplier</t>
        </is>
      </c>
      <c r="K6" s="109" t="inlineStr">
        <is>
          <t>Packed</t>
        </is>
      </c>
      <c r="L6" s="109" t="inlineStr">
        <is>
          <t>Expiry</t>
        </is>
      </c>
      <c r="M6" s="109" t="inlineStr">
        <is>
          <t>Arunachal Pradesh</t>
        </is>
      </c>
    </row>
    <row r="7">
      <c r="A7" s="4" t="inlineStr">
        <is>
          <t>Home State (for GST)</t>
        </is>
      </c>
      <c r="B7" s="109" t="inlineStr">
        <is>
          <t>Rajasthan</t>
        </is>
      </c>
      <c r="D7" s="109" t="inlineStr">
        <is>
          <t>Electrical</t>
        </is>
      </c>
      <c r="E7" s="109" t="inlineStr">
        <is>
          <t>Ltr</t>
        </is>
      </c>
      <c r="F7" s="110" t="n">
        <v>0.12</v>
      </c>
      <c r="G7" s="109" t="inlineStr">
        <is>
          <t>Bank</t>
        </is>
      </c>
      <c r="H7" s="109" t="inlineStr">
        <is>
          <t>Expense</t>
        </is>
      </c>
      <c r="I7" s="109" t="inlineStr">
        <is>
          <t>Electricity</t>
        </is>
      </c>
      <c r="J7" s="109" t="inlineStr">
        <is>
          <t>Both</t>
        </is>
      </c>
      <c r="K7" s="109" t="inlineStr">
        <is>
          <t>Dispatched</t>
        </is>
      </c>
      <c r="L7" s="109" t="inlineStr">
        <is>
          <t>Theft / Loss</t>
        </is>
      </c>
      <c r="M7" s="109" t="inlineStr">
        <is>
          <t>Assam</t>
        </is>
      </c>
    </row>
    <row r="8">
      <c r="A8" s="4" t="inlineStr">
        <is>
          <t>Phone / Email</t>
        </is>
      </c>
      <c r="B8" s="109" t="inlineStr">
        <is>
          <t>+91 98xxxxxx00</t>
        </is>
      </c>
      <c r="D8" s="109" t="inlineStr">
        <is>
          <t>Hardware</t>
        </is>
      </c>
      <c r="E8" s="109" t="inlineStr">
        <is>
          <t>Box</t>
        </is>
      </c>
      <c r="F8" s="110" t="n">
        <v>0.18</v>
      </c>
      <c r="G8" s="109" t="inlineStr">
        <is>
          <t>UPI</t>
        </is>
      </c>
      <c r="H8" s="109" t="inlineStr">
        <is>
          <t>Other Income</t>
        </is>
      </c>
      <c r="I8" s="109" t="inlineStr">
        <is>
          <t>Transport / Freight</t>
        </is>
      </c>
      <c r="J8" s="109" t="n"/>
      <c r="K8" s="109" t="inlineStr">
        <is>
          <t>Delivered</t>
        </is>
      </c>
      <c r="L8" s="109" t="inlineStr">
        <is>
          <t>Count Correction</t>
        </is>
      </c>
      <c r="M8" s="109" t="inlineStr">
        <is>
          <t>Bihar</t>
        </is>
      </c>
    </row>
    <row r="9">
      <c r="A9" s="4" t="inlineStr">
        <is>
          <t>Financial Year Start</t>
        </is>
      </c>
      <c r="B9" s="111" t="n">
        <v>46113</v>
      </c>
      <c r="D9" s="109" t="inlineStr">
        <is>
          <t>Stationery</t>
        </is>
      </c>
      <c r="E9" s="109" t="inlineStr">
        <is>
          <t>Bag</t>
        </is>
      </c>
      <c r="F9" s="110" t="n">
        <v>0.28</v>
      </c>
      <c r="G9" s="109" t="n"/>
      <c r="H9" s="109" t="inlineStr">
        <is>
          <t>Capital In</t>
        </is>
      </c>
      <c r="I9" s="109" t="inlineStr">
        <is>
          <t>Packing</t>
        </is>
      </c>
      <c r="J9" s="109" t="n"/>
      <c r="K9" s="109" t="inlineStr">
        <is>
          <t>Returned</t>
        </is>
      </c>
      <c r="L9" s="109" t="inlineStr">
        <is>
          <t>Sample / Free</t>
        </is>
      </c>
      <c r="M9" s="109" t="inlineStr">
        <is>
          <t>Chhattisgarh</t>
        </is>
      </c>
    </row>
    <row r="10">
      <c r="A10" s="4" t="inlineStr">
        <is>
          <t>Report As-Of Date</t>
        </is>
      </c>
      <c r="B10" s="112">
        <f>TODAY()</f>
        <v/>
      </c>
      <c r="D10" s="109" t="inlineStr">
        <is>
          <t>Garments</t>
        </is>
      </c>
      <c r="E10" s="109" t="inlineStr">
        <is>
          <t>Mtr</t>
        </is>
      </c>
      <c r="F10" s="110" t="n">
        <v>0.4</v>
      </c>
      <c r="G10" s="109" t="n"/>
      <c r="H10" s="109" t="inlineStr">
        <is>
          <t>Drawings</t>
        </is>
      </c>
      <c r="I10" s="109" t="inlineStr">
        <is>
          <t>Telephone / Internet</t>
        </is>
      </c>
      <c r="J10" s="109" t="n"/>
      <c r="K10" s="109" t="n"/>
      <c r="L10" s="109" t="inlineStr">
        <is>
          <t>Sales Return</t>
        </is>
      </c>
      <c r="M10" s="109" t="inlineStr">
        <is>
          <t>Goa</t>
        </is>
      </c>
    </row>
    <row r="11">
      <c r="A11" s="4" t="inlineStr">
        <is>
          <t>Invoice Prefix</t>
        </is>
      </c>
      <c r="B11" s="109" t="inlineStr">
        <is>
          <t>INV-</t>
        </is>
      </c>
      <c r="D11" s="109" t="inlineStr">
        <is>
          <t>Other</t>
        </is>
      </c>
      <c r="E11" s="109" t="inlineStr">
        <is>
          <t>Dozen</t>
        </is>
      </c>
      <c r="F11" s="110" t="n">
        <v>0.03</v>
      </c>
      <c r="G11" s="109" t="n"/>
      <c r="H11" s="109" t="inlineStr">
        <is>
          <t>Transfer In</t>
        </is>
      </c>
      <c r="I11" s="109" t="inlineStr">
        <is>
          <t>Repairs</t>
        </is>
      </c>
      <c r="J11" s="109" t="n"/>
      <c r="K11" s="109" t="n"/>
      <c r="L11" s="109" t="inlineStr">
        <is>
          <t>Purchase Return</t>
        </is>
      </c>
      <c r="M11" s="109" t="inlineStr">
        <is>
          <t>Gujarat</t>
        </is>
      </c>
    </row>
    <row r="12">
      <c r="A12" s="4" t="inlineStr">
        <is>
          <t>Dead-Stock Threshold (days)</t>
        </is>
      </c>
      <c r="B12" s="113" t="n">
        <v>90</v>
      </c>
      <c r="D12" s="109" t="n"/>
      <c r="E12" s="109" t="inlineStr">
        <is>
          <t>Pack</t>
        </is>
      </c>
      <c r="F12" s="110" t="n">
        <v>0.0025</v>
      </c>
      <c r="G12" s="109" t="n"/>
      <c r="H12" s="109" t="inlineStr">
        <is>
          <t>Transfer Out</t>
        </is>
      </c>
      <c r="I12" s="109" t="inlineStr">
        <is>
          <t>Bank Charges</t>
        </is>
      </c>
      <c r="J12" s="109" t="n"/>
      <c r="K12" s="109" t="n"/>
      <c r="L12" s="109" t="inlineStr">
        <is>
          <t>Opening Fix</t>
        </is>
      </c>
      <c r="M12" s="109" t="inlineStr">
        <is>
          <t>Haryana</t>
        </is>
      </c>
    </row>
    <row r="13">
      <c r="A13" s="4" t="inlineStr">
        <is>
          <t>Bank Details (on invoice)</t>
        </is>
      </c>
      <c r="B13" s="109" t="inlineStr">
        <is>
          <t>SBI A/c 0000000000 · IFSC SBIN0000000</t>
        </is>
      </c>
      <c r="D13" s="109" t="n"/>
      <c r="E13" s="109" t="n"/>
      <c r="F13" s="110" t="n"/>
      <c r="G13" s="109" t="n"/>
      <c r="H13" s="109" t="n"/>
      <c r="I13" s="109" t="inlineStr">
        <is>
          <t>Misc</t>
        </is>
      </c>
      <c r="J13" s="109" t="n"/>
      <c r="K13" s="109" t="n"/>
      <c r="L13" s="109" t="n"/>
      <c r="M13" s="109" t="inlineStr">
        <is>
          <t>Himachal Pradesh</t>
        </is>
      </c>
    </row>
    <row r="14">
      <c r="D14" s="109" t="n"/>
      <c r="E14" s="109" t="n"/>
      <c r="F14" s="110" t="n"/>
      <c r="G14" s="109" t="n"/>
      <c r="H14" s="109" t="n"/>
      <c r="I14" s="109" t="n"/>
      <c r="J14" s="109" t="n"/>
      <c r="K14" s="109" t="n"/>
      <c r="L14" s="109" t="n"/>
      <c r="M14" s="109" t="inlineStr">
        <is>
          <t>Jharkhand</t>
        </is>
      </c>
    </row>
    <row r="15">
      <c r="D15" s="109" t="n"/>
      <c r="E15" s="109" t="n"/>
      <c r="F15" s="110" t="n"/>
      <c r="G15" s="109" t="n"/>
      <c r="H15" s="109" t="n"/>
      <c r="I15" s="109" t="n"/>
      <c r="J15" s="109" t="n"/>
      <c r="K15" s="109" t="n"/>
      <c r="L15" s="109" t="n"/>
      <c r="M15" s="109" t="inlineStr">
        <is>
          <t>Karnataka</t>
        </is>
      </c>
    </row>
    <row r="16">
      <c r="A16" s="54" t="inlineStr">
        <is>
          <t>Cash / Bank Accounts</t>
        </is>
      </c>
      <c r="D16" s="109" t="n"/>
      <c r="E16" s="109" t="n"/>
      <c r="F16" s="110" t="n"/>
      <c r="G16" s="109" t="n"/>
      <c r="H16" s="109" t="n"/>
      <c r="I16" s="109" t="n"/>
      <c r="J16" s="109" t="n"/>
      <c r="K16" s="109" t="n"/>
      <c r="L16" s="109" t="n"/>
      <c r="M16" s="109" t="inlineStr">
        <is>
          <t>Kerala</t>
        </is>
      </c>
    </row>
    <row r="17">
      <c r="A17" s="114" t="inlineStr">
        <is>
          <t>Account</t>
        </is>
      </c>
      <c r="B17" s="114" t="inlineStr">
        <is>
          <t>Opening Balance (₹)</t>
        </is>
      </c>
      <c r="D17" s="109" t="n"/>
      <c r="E17" s="109" t="n"/>
      <c r="F17" s="110" t="n"/>
      <c r="G17" s="109" t="n"/>
      <c r="H17" s="109" t="n"/>
      <c r="I17" s="109" t="n"/>
      <c r="J17" s="109" t="n"/>
      <c r="K17" s="109" t="n"/>
      <c r="L17" s="109" t="n"/>
      <c r="M17" s="109" t="inlineStr">
        <is>
          <t>Madhya Pradesh</t>
        </is>
      </c>
    </row>
    <row r="18">
      <c r="A18" s="109" t="inlineStr">
        <is>
          <t>Cash</t>
        </is>
      </c>
      <c r="B18" s="115" t="n">
        <v>50000</v>
      </c>
      <c r="D18" s="109" t="n"/>
      <c r="E18" s="109" t="n"/>
      <c r="F18" s="110" t="n"/>
      <c r="G18" s="109" t="n"/>
      <c r="H18" s="109" t="n"/>
      <c r="I18" s="109" t="n"/>
      <c r="J18" s="109" t="n"/>
      <c r="K18" s="109" t="n"/>
      <c r="L18" s="109" t="n"/>
      <c r="M18" s="109" t="inlineStr">
        <is>
          <t>Maharashtra</t>
        </is>
      </c>
    </row>
    <row r="19">
      <c r="A19" s="109" t="inlineStr">
        <is>
          <t>Bank</t>
        </is>
      </c>
      <c r="B19" s="115" t="n">
        <v>250000</v>
      </c>
      <c r="D19" s="109" t="n"/>
      <c r="E19" s="109" t="n"/>
      <c r="F19" s="110" t="n"/>
      <c r="G19" s="109" t="n"/>
      <c r="H19" s="109" t="n"/>
      <c r="I19" s="109" t="n"/>
      <c r="J19" s="109" t="n"/>
      <c r="K19" s="109" t="n"/>
      <c r="L19" s="109" t="n"/>
      <c r="M19" s="109" t="inlineStr">
        <is>
          <t>Manipur</t>
        </is>
      </c>
    </row>
    <row r="20">
      <c r="A20" s="109" t="inlineStr">
        <is>
          <t>UPI</t>
        </is>
      </c>
      <c r="B20" s="115" t="n">
        <v>0</v>
      </c>
      <c r="D20" s="109" t="n"/>
      <c r="E20" s="109" t="n"/>
      <c r="F20" s="110" t="n"/>
      <c r="G20" s="109" t="n"/>
      <c r="H20" s="109" t="n"/>
      <c r="I20" s="109" t="n"/>
      <c r="J20" s="109" t="n"/>
      <c r="K20" s="109" t="n"/>
      <c r="L20" s="109" t="n"/>
      <c r="M20" s="109" t="inlineStr">
        <is>
          <t>Meghalaya</t>
        </is>
      </c>
    </row>
    <row r="21">
      <c r="A21" s="109" t="n"/>
      <c r="B21" s="115" t="n"/>
      <c r="D21" s="109" t="n"/>
      <c r="E21" s="109" t="n"/>
      <c r="F21" s="110" t="n"/>
      <c r="G21" s="109" t="n"/>
      <c r="H21" s="109" t="n"/>
      <c r="I21" s="109" t="n"/>
      <c r="J21" s="109" t="n"/>
      <c r="K21" s="109" t="n"/>
      <c r="L21" s="109" t="n"/>
      <c r="M21" s="109" t="inlineStr">
        <is>
          <t>Mizoram</t>
        </is>
      </c>
    </row>
    <row r="22">
      <c r="A22" s="109" t="n"/>
      <c r="B22" s="115" t="n"/>
      <c r="D22" s="109" t="n"/>
      <c r="E22" s="109" t="n"/>
      <c r="F22" s="110" t="n"/>
      <c r="G22" s="109" t="n"/>
      <c r="H22" s="109" t="n"/>
      <c r="I22" s="109" t="n"/>
      <c r="J22" s="109" t="n"/>
      <c r="K22" s="109" t="n"/>
      <c r="L22" s="109" t="n"/>
      <c r="M22" s="109" t="inlineStr">
        <is>
          <t>Nagaland</t>
        </is>
      </c>
    </row>
    <row r="23">
      <c r="A23" s="109" t="n"/>
      <c r="B23" s="115" t="n"/>
      <c r="D23" s="109" t="n"/>
      <c r="E23" s="109" t="n"/>
      <c r="F23" s="110" t="n"/>
      <c r="G23" s="109" t="n"/>
      <c r="H23" s="109" t="n"/>
      <c r="I23" s="109" t="n"/>
      <c r="J23" s="109" t="n"/>
      <c r="K23" s="109" t="n"/>
      <c r="L23" s="109" t="n"/>
      <c r="M23" s="109" t="inlineStr">
        <is>
          <t>Odisha</t>
        </is>
      </c>
    </row>
    <row r="24">
      <c r="A24" s="109" t="n"/>
      <c r="B24" s="115" t="n"/>
      <c r="D24" s="109" t="n"/>
      <c r="E24" s="109" t="n"/>
      <c r="F24" s="110" t="n"/>
      <c r="G24" s="109" t="n"/>
      <c r="H24" s="109" t="n"/>
      <c r="I24" s="109" t="n"/>
      <c r="J24" s="109" t="n"/>
      <c r="K24" s="109" t="n"/>
      <c r="L24" s="109" t="n"/>
      <c r="M24" s="109" t="inlineStr">
        <is>
          <t>Punjab</t>
        </is>
      </c>
    </row>
    <row r="25">
      <c r="A25" s="109" t="n"/>
      <c r="B25" s="115" t="n"/>
      <c r="D25" s="109" t="n"/>
      <c r="E25" s="109" t="n"/>
      <c r="F25" s="110" t="n"/>
      <c r="G25" s="109" t="n"/>
      <c r="H25" s="109" t="n"/>
      <c r="I25" s="109" t="n"/>
      <c r="J25" s="109" t="n"/>
      <c r="K25" s="109" t="n"/>
      <c r="L25" s="109" t="n"/>
      <c r="M25" s="109" t="inlineStr">
        <is>
          <t>Rajasthan</t>
        </is>
      </c>
    </row>
    <row r="26">
      <c r="D26" s="109" t="n"/>
      <c r="E26" s="109" t="n"/>
      <c r="F26" s="110" t="n"/>
      <c r="G26" s="109" t="n"/>
      <c r="H26" s="109" t="n"/>
      <c r="I26" s="109" t="n"/>
      <c r="J26" s="109" t="n"/>
      <c r="K26" s="109" t="n"/>
      <c r="L26" s="109" t="n"/>
      <c r="M26" s="109" t="inlineStr">
        <is>
          <t>Sikkim</t>
        </is>
      </c>
    </row>
    <row r="27">
      <c r="A27" s="6" t="inlineStr">
        <is>
          <t>Opening balances are your figures on FY start - replace the sample values.</t>
        </is>
      </c>
      <c r="D27" s="109" t="n"/>
      <c r="E27" s="109" t="n"/>
      <c r="F27" s="110" t="n"/>
      <c r="G27" s="109" t="n"/>
      <c r="H27" s="109" t="n"/>
      <c r="I27" s="109" t="n"/>
      <c r="J27" s="109" t="n"/>
      <c r="K27" s="109" t="n"/>
      <c r="L27" s="109" t="n"/>
      <c r="M27" s="109" t="inlineStr">
        <is>
          <t>Tamil Nadu</t>
        </is>
      </c>
    </row>
    <row r="28">
      <c r="D28" s="109" t="n"/>
      <c r="E28" s="109" t="n"/>
      <c r="F28" s="110" t="n"/>
      <c r="G28" s="109" t="n"/>
      <c r="H28" s="109" t="n"/>
      <c r="I28" s="109" t="n"/>
      <c r="J28" s="109" t="n"/>
      <c r="K28" s="109" t="n"/>
      <c r="L28" s="109" t="n"/>
      <c r="M28" s="109" t="inlineStr">
        <is>
          <t>Telangana</t>
        </is>
      </c>
    </row>
    <row r="29">
      <c r="D29" s="109" t="n"/>
      <c r="E29" s="109" t="n"/>
      <c r="F29" s="110" t="n"/>
      <c r="G29" s="109" t="n"/>
      <c r="H29" s="109" t="n"/>
      <c r="I29" s="109" t="n"/>
      <c r="J29" s="109" t="n"/>
      <c r="K29" s="109" t="n"/>
      <c r="L29" s="109" t="n"/>
      <c r="M29" s="109" t="inlineStr">
        <is>
          <t>Tripura</t>
        </is>
      </c>
    </row>
    <row r="30">
      <c r="D30" s="109" t="n"/>
      <c r="E30" s="109" t="n"/>
      <c r="F30" s="110" t="n"/>
      <c r="G30" s="109" t="n"/>
      <c r="H30" s="109" t="n"/>
      <c r="I30" s="109" t="n"/>
      <c r="J30" s="109" t="n"/>
      <c r="K30" s="109" t="n"/>
      <c r="L30" s="109" t="n"/>
      <c r="M30" s="109" t="inlineStr">
        <is>
          <t>Uttar Pradesh</t>
        </is>
      </c>
    </row>
    <row r="31">
      <c r="D31" s="109" t="n"/>
      <c r="E31" s="109" t="n"/>
      <c r="F31" s="110" t="n"/>
      <c r="G31" s="109" t="n"/>
      <c r="H31" s="109" t="n"/>
      <c r="I31" s="109" t="n"/>
      <c r="J31" s="109" t="n"/>
      <c r="K31" s="109" t="n"/>
      <c r="L31" s="109" t="n"/>
      <c r="M31" s="109" t="inlineStr">
        <is>
          <t>Uttarakhand</t>
        </is>
      </c>
    </row>
    <row r="32">
      <c r="D32" s="109" t="n"/>
      <c r="E32" s="109" t="n"/>
      <c r="F32" s="110" t="n"/>
      <c r="G32" s="109" t="n"/>
      <c r="H32" s="109" t="n"/>
      <c r="I32" s="109" t="n"/>
      <c r="J32" s="109" t="n"/>
      <c r="K32" s="109" t="n"/>
      <c r="L32" s="109" t="n"/>
      <c r="M32" s="109" t="inlineStr">
        <is>
          <t>West Bengal</t>
        </is>
      </c>
    </row>
    <row r="33">
      <c r="D33" s="109" t="n"/>
      <c r="E33" s="109" t="n"/>
      <c r="F33" s="110" t="n"/>
      <c r="G33" s="109" t="n"/>
      <c r="H33" s="109" t="n"/>
      <c r="I33" s="109" t="n"/>
      <c r="J33" s="109" t="n"/>
      <c r="K33" s="109" t="n"/>
      <c r="L33" s="109" t="n"/>
      <c r="M33" s="109" t="inlineStr">
        <is>
          <t>Delhi</t>
        </is>
      </c>
    </row>
    <row r="34">
      <c r="D34" s="109" t="n"/>
      <c r="E34" s="109" t="n"/>
      <c r="F34" s="110" t="n"/>
      <c r="G34" s="109" t="n"/>
      <c r="H34" s="109" t="n"/>
      <c r="I34" s="109" t="n"/>
      <c r="J34" s="109" t="n"/>
      <c r="K34" s="109" t="n"/>
      <c r="L34" s="109" t="n"/>
      <c r="M34" s="109" t="inlineStr">
        <is>
          <t>Jammu and Kashmir</t>
        </is>
      </c>
    </row>
    <row r="35">
      <c r="D35" s="109" t="n"/>
      <c r="E35" s="109" t="n"/>
      <c r="F35" s="110" t="n"/>
      <c r="G35" s="109" t="n"/>
      <c r="H35" s="109" t="n"/>
      <c r="I35" s="109" t="n"/>
      <c r="J35" s="109" t="n"/>
      <c r="K35" s="109" t="n"/>
      <c r="L35" s="109" t="n"/>
      <c r="M35" s="109" t="inlineStr">
        <is>
          <t>Ladakh</t>
        </is>
      </c>
    </row>
    <row r="36">
      <c r="D36" s="109" t="n"/>
      <c r="E36" s="109" t="n"/>
      <c r="F36" s="110" t="n"/>
      <c r="G36" s="109" t="n"/>
      <c r="H36" s="109" t="n"/>
      <c r="I36" s="109" t="n"/>
      <c r="J36" s="109" t="n"/>
      <c r="K36" s="109" t="n"/>
      <c r="L36" s="109" t="n"/>
      <c r="M36" s="109" t="inlineStr">
        <is>
          <t>Puducherry</t>
        </is>
      </c>
    </row>
    <row r="37">
      <c r="D37" s="109" t="n"/>
      <c r="E37" s="109" t="n"/>
      <c r="F37" s="110" t="n"/>
      <c r="G37" s="109" t="n"/>
      <c r="H37" s="109" t="n"/>
      <c r="I37" s="109" t="n"/>
      <c r="J37" s="109" t="n"/>
      <c r="K37" s="109" t="n"/>
      <c r="L37" s="109" t="n"/>
      <c r="M37" s="109" t="inlineStr">
        <is>
          <t>Chandigarh</t>
        </is>
      </c>
    </row>
    <row r="38">
      <c r="D38" s="109" t="n"/>
      <c r="E38" s="109" t="n"/>
      <c r="F38" s="110" t="n"/>
      <c r="G38" s="109" t="n"/>
      <c r="H38" s="109" t="n"/>
      <c r="I38" s="109" t="n"/>
      <c r="J38" s="109" t="n"/>
      <c r="K38" s="109" t="n"/>
      <c r="L38" s="109" t="n"/>
      <c r="M38" s="109" t="inlineStr">
        <is>
          <t>Dadra &amp; Nagar Haveli and Daman &amp; Diu</t>
        </is>
      </c>
    </row>
    <row r="39">
      <c r="D39" s="109" t="n"/>
      <c r="E39" s="109" t="n"/>
      <c r="F39" s="110" t="n"/>
      <c r="G39" s="109" t="n"/>
      <c r="H39" s="109" t="n"/>
      <c r="I39" s="109" t="n"/>
      <c r="J39" s="109" t="n"/>
      <c r="K39" s="109" t="n"/>
      <c r="L39" s="109" t="n"/>
      <c r="M39" s="109" t="inlineStr">
        <is>
          <t>Lakshadweep</t>
        </is>
      </c>
    </row>
    <row r="40">
      <c r="D40" s="109" t="n"/>
      <c r="E40" s="109" t="n"/>
      <c r="F40" s="110" t="n"/>
      <c r="G40" s="109" t="n"/>
      <c r="H40" s="109" t="n"/>
      <c r="I40" s="109" t="n"/>
      <c r="J40" s="109" t="n"/>
      <c r="K40" s="109" t="n"/>
      <c r="L40" s="109" t="n"/>
      <c r="M40" s="109" t="inlineStr">
        <is>
          <t>Andaman &amp; Nicobar</t>
        </is>
      </c>
    </row>
    <row r="41">
      <c r="D41" s="109" t="n"/>
      <c r="E41" s="109" t="n"/>
      <c r="F41" s="110" t="n"/>
      <c r="G41" s="109" t="n"/>
      <c r="H41" s="109" t="n"/>
      <c r="I41" s="109" t="n"/>
      <c r="J41" s="109" t="n"/>
      <c r="K41" s="109" t="n"/>
      <c r="L41" s="109" t="n"/>
      <c r="M41" s="109" t="n"/>
    </row>
    <row r="42">
      <c r="D42" s="109" t="n"/>
      <c r="E42" s="109" t="n"/>
      <c r="F42" s="110" t="n"/>
      <c r="G42" s="109" t="n"/>
      <c r="H42" s="109" t="n"/>
      <c r="I42" s="109" t="n"/>
      <c r="J42" s="109" t="n"/>
      <c r="K42" s="109" t="n"/>
      <c r="L42" s="109" t="n"/>
      <c r="M42" s="109" t="n"/>
    </row>
    <row r="43">
      <c r="D43" s="109" t="n"/>
      <c r="E43" s="109" t="n"/>
      <c r="F43" s="110" t="n"/>
      <c r="G43" s="109" t="n"/>
      <c r="H43" s="109" t="n"/>
      <c r="I43" s="109" t="n"/>
      <c r="J43" s="109" t="n"/>
      <c r="K43" s="109" t="n"/>
      <c r="L43" s="109" t="n"/>
      <c r="M43" s="109" t="n"/>
    </row>
    <row r="44">
      <c r="D44" s="109" t="n"/>
      <c r="E44" s="109" t="n"/>
      <c r="F44" s="110" t="n"/>
      <c r="G44" s="109" t="n"/>
      <c r="H44" s="109" t="n"/>
      <c r="I44" s="109" t="n"/>
      <c r="J44" s="109" t="n"/>
      <c r="K44" s="109" t="n"/>
      <c r="L44" s="109" t="n"/>
      <c r="M44" s="109" t="n"/>
    </row>
  </sheetData>
  <mergeCells count="2">
    <mergeCell ref="A2:L2"/>
    <mergeCell ref="A1:L1"/>
  </mergeCells>
  <hyperlinks>
    <hyperlink xmlns:r="http://schemas.openxmlformats.org/officeDocument/2006/relationships" ref="N1" r:id="rId1"/>
  </hyperlink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tabColor rgb="009E9E9E"/>
    <outlinePr summaryBelow="1" summaryRight="1"/>
    <pageSetUpPr/>
  </sheetPr>
  <dimension ref="A1:E4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95" customWidth="1" min="3" max="3"/>
  </cols>
  <sheetData>
    <row r="1" ht="30" customHeight="1">
      <c r="A1" s="1" t="n"/>
      <c r="B1" s="116" t="inlineStr">
        <is>
          <t>❓  HOW SMARTTRADER ERP WORKS</t>
        </is>
      </c>
      <c r="C1" s="1" t="n"/>
      <c r="E1" t="inlineStr">
        <is>
          <t>◀ Home</t>
        </is>
      </c>
    </row>
    <row r="4">
      <c r="B4" s="117" t="inlineStr">
        <is>
          <t>DAILY FLOW: PROCURE → STOCK → SELL → DELIVER → COLLECT</t>
        </is>
      </c>
      <c r="C4" s="56" t="n"/>
    </row>
    <row r="5" ht="28" customHeight="1">
      <c r="B5" s="118" t="inlineStr">
        <is>
          <t>1. Set up once</t>
        </is>
      </c>
      <c r="C5" s="119" t="inlineStr">
        <is>
          <t>Settings: company, GSTIN, home state, FY start, opening cash/bank. Items: product list with opening stock. Parties: customers &amp; suppliers with state and credit limit.</t>
        </is>
      </c>
    </row>
    <row r="6" ht="28" customHeight="1">
      <c r="B6" s="118" t="inlineStr">
        <is>
          <t>2. Buy (Purchases)</t>
        </is>
      </c>
      <c r="C6" s="119" t="inlineStr">
        <is>
          <t>Pick supplier and item from dropdowns, type qty. Rate blank = standard purchase rate. 'Paid Via' blank = on credit (creates payable).</t>
        </is>
      </c>
    </row>
    <row r="7" ht="28" customHeight="1">
      <c r="B7" s="118" t="inlineStr">
        <is>
          <t>3. Stock updates itself</t>
        </is>
      </c>
      <c r="C7" s="119" t="inlineStr">
        <is>
          <t>Items sheet instantly shows closing stock, weighted-average cost, stock value and REORDER / OUT OF STOCK / DEAD STOCK alerts.</t>
        </is>
      </c>
    </row>
    <row r="8" ht="28" customHeight="1">
      <c r="B8" s="118" t="inlineStr">
        <is>
          <t>4. Sell (Sales)</t>
        </is>
      </c>
      <c r="C8" s="119" t="inlineStr">
        <is>
          <t>One line per item; keep all lines of an invoice together. CGST+SGST or IGST is chosen automatically from customer state vs. your home state. 'Stock Check' warns on negative stock or selling below cost.</t>
        </is>
      </c>
    </row>
    <row r="9" ht="28" customHeight="1">
      <c r="B9" s="118" t="inlineStr">
        <is>
          <t>5. Print invoice</t>
        </is>
      </c>
      <c r="C9" s="119" t="inlineStr">
        <is>
          <t>Invoice sheet shows the latest invoice automatically. Type any invoice number in the cream cell to reprint. Ctrl+P (fits one A4 page). Doubles as delivery challan.</t>
        </is>
      </c>
    </row>
    <row r="10" ht="28" customHeight="1">
      <c r="B10" s="118" t="inlineStr">
        <is>
          <t>6. Deliver</t>
        </is>
      </c>
      <c r="C10" s="119" t="inlineStr">
        <is>
          <t>Set the Delivery column (Pending / Packed / Dispatched / Delivered). Dashboard counts what is still pending.</t>
        </is>
      </c>
    </row>
    <row r="11" ht="28" customHeight="1">
      <c r="B11" s="118" t="inlineStr">
        <is>
          <t>7. Collect &amp; pay (CashBook)</t>
        </is>
      </c>
      <c r="C11" s="119" t="inlineStr">
        <is>
          <t>Receipt = money from customer; Payment = money to supplier; Expense = shop costs; Transfer In/Out moves money between Cash/Bank/UPI (enter both legs).</t>
        </is>
      </c>
    </row>
    <row r="12" ht="28" customHeight="1">
      <c r="B12" s="118" t="inlineStr">
        <is>
          <t>8. Review</t>
        </is>
      </c>
      <c r="C12" s="119" t="inlineStr">
        <is>
          <t>Dashboard for the live picture, Reports for monthly P&amp;L, GST rate-wise summary and expense analysis.</t>
        </is>
      </c>
    </row>
    <row r="14">
      <c r="B14" s="117" t="inlineStr">
        <is>
          <t>PAIN POINTS THIS SOLVES</t>
        </is>
      </c>
      <c r="C14" s="56" t="n"/>
    </row>
    <row r="15" ht="28" customHeight="1">
      <c r="B15" s="118" t="inlineStr">
        <is>
          <t>Stock never matches</t>
        </is>
      </c>
      <c r="C15" s="119" t="inlineStr">
        <is>
          <t>Single source of truth: stock = opening + purchases − sales ± adjustments. No manual stock register.</t>
        </is>
      </c>
    </row>
    <row r="16" ht="28" customHeight="1">
      <c r="B16" s="118" t="inlineStr">
        <is>
          <t>Don't know real profit</t>
        </is>
      </c>
      <c r="C16" s="119" t="inlineStr">
        <is>
          <t>Every sale line carries COGS at weighted-average cost, so gross and net profit are exact per line, item, month.</t>
        </is>
      </c>
    </row>
    <row r="17" ht="28" customHeight="1">
      <c r="B17" s="118" t="inlineStr">
        <is>
          <t>Money stuck with customers</t>
        </is>
      </c>
      <c r="C17" s="119" t="inlineStr">
        <is>
          <t>Party ledger with credit limit, credit days, OVERDUE / OVER LIMIT flags and Days Unpaid.</t>
        </is>
      </c>
    </row>
    <row r="18" ht="28" customHeight="1">
      <c r="B18" s="118" t="inlineStr">
        <is>
          <t>Running out / overstock</t>
        </is>
      </c>
      <c r="C18" s="119" t="inlineStr">
        <is>
          <t>Reorder level + suggested order qty, days-of-cover, and dead-stock detection (no sale in N days).</t>
        </is>
      </c>
    </row>
    <row r="19" ht="28" customHeight="1">
      <c r="B19" s="118" t="inlineStr">
        <is>
          <t>GST headache</t>
        </is>
      </c>
      <c r="C19" s="119" t="inlineStr">
        <is>
          <t>Automatic CGST/SGST vs IGST split, rate-wise output vs input summary per FY, net payable on dashboard.</t>
        </is>
      </c>
    </row>
    <row r="20" ht="28" customHeight="1">
      <c r="B20" s="118" t="inlineStr">
        <is>
          <t>Double entry for cash sales</t>
        </is>
      </c>
      <c r="C20" s="119" t="inlineStr">
        <is>
          <t>'Paid Via' on the bill itself books cash/bank/UPI immediately - no separate receipt needed.</t>
        </is>
      </c>
    </row>
    <row r="21" ht="28" customHeight="1">
      <c r="B21" s="118" t="inlineStr">
        <is>
          <t>Typing errors</t>
        </is>
      </c>
      <c r="C21" s="119" t="inlineStr">
        <is>
          <t>Dropdowns everywhere, unique-name checks, qty/date validation, row-level 'Check' columns.</t>
        </is>
      </c>
    </row>
    <row r="22" ht="28" customHeight="1">
      <c r="B22" s="118" t="inlineStr">
        <is>
          <t>Slow, crashing Excel files</t>
        </is>
      </c>
      <c r="C22" s="119" t="inlineStr">
        <is>
          <t>See SPEED DESIGN below.</t>
        </is>
      </c>
    </row>
    <row r="24">
      <c r="B24" s="117" t="inlineStr">
        <is>
          <t>SPEED DESIGN (why it stays fast)</t>
        </is>
      </c>
      <c r="C24" s="56" t="n"/>
    </row>
    <row r="25" ht="28" customHeight="1">
      <c r="B25" s="118" t="inlineStr">
        <is>
          <t>No volatile functions</t>
        </is>
      </c>
      <c r="C25" s="119" t="inlineStr">
        <is>
          <t>No OFFSET/INDIRECT in cell formulas; TODAY() appears once (Settings!B10). Volatile names are used only by dropdowns, which are not recalculated.</t>
        </is>
      </c>
    </row>
    <row r="26" ht="28" customHeight="1">
      <c r="B26" s="118" t="inlineStr">
        <is>
          <t>Bounded ranges</t>
        </is>
      </c>
      <c r="C26" s="119" t="inlineStr">
        <is>
          <t>All lookups use fixed ranges (20,000 transaction rows, 2000 items, 1000 parties) - never whole-column A:A references.</t>
        </is>
      </c>
    </row>
    <row r="27" ht="28" customHeight="1">
      <c r="B27" s="118" t="inlineStr">
        <is>
          <t>Match once, reuse</t>
        </is>
      </c>
      <c r="C27" s="119" t="inlineStr">
        <is>
          <t>Each transaction row runs one MATCH into a hidden helper column, then several cheap INDEX calls reuse it.</t>
        </is>
      </c>
    </row>
    <row r="28" ht="28" customHeight="1">
      <c r="B28" s="118" t="inlineStr">
        <is>
          <t>SUMIFS engine</t>
        </is>
      </c>
      <c r="C28" s="119" t="inlineStr">
        <is>
          <t>All aggregation uses SUMIFS/COUNTIFS - Excel's fastest multi-threaded aggregation functions. No SUMPRODUCT or array formulas.</t>
        </is>
      </c>
    </row>
    <row r="29" ht="28" customHeight="1">
      <c r="B29" s="118" t="inlineStr">
        <is>
          <t>Extra boost (optional)</t>
        </is>
      </c>
      <c r="C29" s="119" t="inlineStr">
        <is>
          <t>Import ERP_Macros.bas (File ▸ Save As .xlsm, Alt+F11 ▸ File ▸ Import) for one-click Fast Mode, new invoice, PDF invoice, backup and archive.</t>
        </is>
      </c>
    </row>
    <row r="31">
      <c r="B31" s="117" t="inlineStr">
        <is>
          <t>RULES &amp; LIMITS</t>
        </is>
      </c>
      <c r="C31" s="56" t="n"/>
    </row>
    <row r="32" ht="28" customHeight="1">
      <c r="B32" s="118" t="inlineStr">
        <is>
          <t>Colour code</t>
        </is>
      </c>
      <c r="C32" s="119" t="inlineStr">
        <is>
          <t>Blue text on cream = you type. Black/grey = formula, never overwrite. Green = linked from another sheet.</t>
        </is>
      </c>
    </row>
    <row r="33" ht="28" customHeight="1">
      <c r="B33" s="118" t="inlineStr">
        <is>
          <t>Sample data</t>
        </is>
      </c>
      <c r="C33" s="119" t="inlineStr">
        <is>
          <t>Rows already filled are DEMO data. Clear only the cream input cells (or run ClearDemoData macro) before going live.</t>
        </is>
      </c>
    </row>
    <row r="34" ht="28" customHeight="1">
      <c r="B34" s="118" t="inlineStr">
        <is>
          <t>Capacity</t>
        </is>
      </c>
      <c r="C34" s="119" t="inlineStr">
        <is>
          <t>20,000 lines per register per year. At year end: Save As a new file, set new FY start, carry forward closing stock as Opening Qty/Rate and party balances as Opening Bal.</t>
        </is>
      </c>
    </row>
    <row r="35" ht="28" customHeight="1">
      <c r="B35" s="118" t="inlineStr">
        <is>
          <t>Returns</t>
        </is>
      </c>
      <c r="C35" s="119" t="inlineStr">
        <is>
          <t>Sales return: Adjustments with +qty, reason 'Sales Return', plus a Payment / credit in CashBook. Purchase return: −qty and a Receipt from supplier.</t>
        </is>
      </c>
    </row>
    <row r="36" ht="28" customHeight="1">
      <c r="B36" s="118" t="inlineStr">
        <is>
          <t>Costing method</t>
        </is>
      </c>
      <c r="C36" s="119" t="inlineStr">
        <is>
          <t>Weighted-average cost over the year (opening + all purchases). COGS uses the current average, the standard method for traders.</t>
        </is>
      </c>
    </row>
    <row r="37" ht="28" customHeight="1">
      <c r="B37" s="118" t="inlineStr">
        <is>
          <t>Assumption</t>
        </is>
      </c>
      <c r="C37" s="119" t="inlineStr">
        <is>
          <t>Currency ₹ and Indian GST structure. Rates in Settings are editable; verify slabs with your CA.</t>
        </is>
      </c>
    </row>
    <row r="39">
      <c r="B39" s="117" t="inlineStr">
        <is>
          <t>C ENGINE EDITION (SmartTrader64.xll)</t>
        </is>
      </c>
      <c r="C39" s="56" t="n"/>
    </row>
    <row r="40" ht="28" customHeight="1">
      <c r="B40" s="118" t="inlineStr">
        <is>
          <t>What it is</t>
        </is>
      </c>
      <c r="C40" s="119" t="inlineStr">
        <is>
          <t>A native Excel add-in written in C. Stock, cost, GST, party ledgers and the cash book are posted in one pass by compiled code - six formulas instead of ~100,000. Results are identical to the formula edition, cell for cell.</t>
        </is>
      </c>
    </row>
    <row r="41" ht="28" customHeight="1">
      <c r="B41" s="118" t="inlineStr">
        <is>
          <t>Install once</t>
        </is>
      </c>
      <c r="C41" s="119" t="inlineStr">
        <is>
          <t>1) Copy SmartTrader64.xll (or SmartTrader32.xll for 32-bit Office) to a folder, e.g. Documents\SmartTrader. 2) Right-click it ▸ Properties ▸ tick 'Unblock' ▸ OK (Windows blocks add-ins downloaded from the internet). 3) Excel ▸ File ▸ Options ▸ Add-ins ▸ Manage: Excel Add-ins ▸ Go ▸ Browse ▸ pick the .xll ▸ OK.</t>
        </is>
      </c>
    </row>
    <row r="42" ht="28" customHeight="1">
      <c r="B42" s="118" t="inlineStr">
        <is>
          <t>Check it works</t>
        </is>
      </c>
      <c r="C42" s="119" t="inlineStr">
        <is>
          <t>Dashboard top-right shows '✔ SmartTrader C Engine 1.0'. A red '⚠ C engine not loaded' means step 3 was skipped and the grey columns show NAME errors until the add-in is loaded. Your typed data is never affected.</t>
        </is>
      </c>
    </row>
    <row r="43" ht="28" customHeight="1">
      <c r="B43" s="118" t="inlineStr">
        <is>
          <t>Which .xll?</t>
        </is>
      </c>
      <c r="C43" s="119" t="inlineStr">
        <is>
          <t>Excel ▸ File ▸ Account ▸ About Excel shows '64-bit' or '32-bit'. Use the matching file.</t>
        </is>
      </c>
    </row>
    <row r="44" ht="28" customHeight="1">
      <c r="B44" s="118" t="inlineStr">
        <is>
          <t>Capacity</t>
        </is>
      </c>
      <c r="C44" s="119" t="inlineStr">
        <is>
          <t>20,000 lines per register, 2,000 items, 1,000 parties. A full recalculation of the sample data takes about 5 ms.</t>
        </is>
      </c>
    </row>
    <row r="45" ht="28" customHeight="1">
      <c r="B45" s="118" t="inlineStr">
        <is>
          <t>Do not</t>
        </is>
      </c>
      <c r="C45" s="119" t="inlineStr">
        <is>
          <t>Sort the register sheets (the grey output blocks are single array formulas; use the filter arrows instead) or type inside grey columns.</t>
        </is>
      </c>
    </row>
    <row r="46" ht="28" customHeight="1">
      <c r="B46" s="118" t="inlineStr">
        <is>
          <t>Platforms</t>
        </is>
      </c>
      <c r="C46" s="119" t="inlineStr">
        <is>
          <t>Excel for Windows (2010 and later, 32- or 64-bit). On Mac / Excel Online use the formula edition (SmartTrader_ERP.xlsx), which has the same layout.</t>
        </is>
      </c>
    </row>
  </sheetData>
  <mergeCells count="6">
    <mergeCell ref="B39:C39"/>
    <mergeCell ref="B24:C24"/>
    <mergeCell ref="B14:C14"/>
    <mergeCell ref="B31:C31"/>
    <mergeCell ref="B1:C1"/>
    <mergeCell ref="B4:C4"/>
  </mergeCells>
  <hyperlinks>
    <hyperlink xmlns:r="http://schemas.openxmlformats.org/officeDocument/2006/relationships" ref="E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2026-10-11T06:43:38Z</dcterms:created>
  <dcterms:modified xmlns:dcterms="http://purl.org/dc/terms/" xmlns:xsi="http://www.w3.org/2001/XMLSchema-instance" xsi:type="dcterms:W3CDTF">2026-10-11T06:43:40Z</dcterms:modified>
</cp:coreProperties>
</file>