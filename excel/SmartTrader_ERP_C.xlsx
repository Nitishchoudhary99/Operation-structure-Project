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Purchases" sheetId="3" state="visible" r:id="rId3"/>
    <sheet xmlns:r="http://schemas.openxmlformats.org/officeDocument/2006/relationships" name="CashBook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Parties" sheetId="6" state="visible" r:id="rId6"/>
    <sheet xmlns:r="http://schemas.openxmlformats.org/officeDocument/2006/relationships" name="Adjustments" sheetId="7" state="visible" r:id="rId7"/>
    <sheet xmlns:r="http://schemas.openxmlformats.org/officeDocument/2006/relationships" name="Invoice" sheetId="8" state="visible" r:id="rId8"/>
    <sheet xmlns:r="http://schemas.openxmlformats.org/officeDocument/2006/relationships" name="Reports" sheetId="9" state="visible" r:id="rId9"/>
    <sheet xmlns:r="http://schemas.openxmlformats.org/officeDocument/2006/relationships" name="Settings" sheetId="10" state="visible" r:id="rId10"/>
    <sheet xmlns:r="http://schemas.openxmlformats.org/officeDocument/2006/relationships" name="Plans" sheetId="11" state="visible" r:id="rId11"/>
    <sheet xmlns:r="http://schemas.openxmlformats.org/officeDocument/2006/relationships" name="Guide" sheetId="12" state="visible" r:id="rId12"/>
    <sheet xmlns:r="http://schemas.openxmlformats.org/officeDocument/2006/relationships" name="Lic" sheetId="13" state="veryHidden" r:id="rId13"/>
  </sheets>
  <definedNames>
    <definedName name="CoName">Settings!$B$4</definedName>
    <definedName name="CoAddr">Settings!$B$5</definedName>
    <definedName name="CoGSTIN">Settings!$B$6</definedName>
    <definedName name="HomeState">Settings!$B$7</definedName>
    <definedName name="CoPhone">Settings!$B$8</definedName>
    <definedName name="FYStart">Settings!$B$9</definedName>
    <definedName name="AsOf">Settings!$B$10</definedName>
    <definedName name="InvPrefix">Settings!$B$11</definedName>
    <definedName name="DeadDays">Settings!$B$12</definedName>
    <definedName name="CoBank">Settings!$B$13</definedName>
    <definedName name="LicId">Settings!$B$14</definedName>
    <definedName name="LicKey">Settings!$B$15</definedName>
    <definedName name="L_Categories">OFFSET(Settings!$D$5,0,0,MAX(1,COUNTA(Settings!$D$5:$D$44)),1)</definedName>
    <definedName name="L_Units">OFFSET(Settings!$E$5,0,0,MAX(1,COUNTA(Settings!$E$5:$E$44)),1)</definedName>
    <definedName name="L_GSTRates">OFFSET(Settings!$F$5,0,0,MAX(1,COUNTA(Settings!$F$5:$F$44)),1)</definedName>
    <definedName name="L_PayModes">OFFSET(Settings!$G$5,0,0,MAX(1,COUNTA(Settings!$G$5:$G$44)),1)</definedName>
    <definedName name="L_VoucherTypes">OFFSET(Settings!$H$5,0,0,MAX(1,COUNTA(Settings!$H$5:$H$44)),1)</definedName>
    <definedName name="L_ExpenseHeads">OFFSET(Settings!$I$5,0,0,MAX(1,COUNTA(Settings!$I$5:$I$44)),1)</definedName>
    <definedName name="L_PartyTypes">OFFSET(Settings!$J$5,0,0,MAX(1,COUNTA(Settings!$J$5:$J$44)),1)</definedName>
    <definedName name="L_DeliveryStatus">OFFSET(Settings!$K$5,0,0,MAX(1,COUNTA(Settings!$K$5:$K$44)),1)</definedName>
    <definedName name="L_AdjReasons">OFFSET(Settings!$L$5,0,0,MAX(1,COUNTA(Settings!$L$5:$L$44)),1)</definedName>
    <definedName name="L_States">OFFSET(Settings!$M$5,0,0,MAX(1,COUNTA(Settings!$M$5:$M$44)),1)</definedName>
    <definedName name="L_Accounts">OFFSET(Settings!$A$18,0,0,MAX(1,COUNTA(Settings!$A$18:$A$25)),1)</definedName>
    <definedName name="L_Items">OFFSET(Items!$A$5,0,0,MAX(1,COUNTA(Items!$A$5:$A$2004)),1)</definedName>
    <definedName name="L_Parties">OFFSET(Parties!$A$5,0,0,MAX(1,COUNTA(Parties!$A$5:$A$1004)),1)</definedName>
    <definedName name="IsPro">Lic!$A$10</definedName>
    <definedName name="TxRows">Lic!$A$11</definedName>
    <definedName name="LicStatus">Lic!$A$13</definedName>
    <definedName name="LicExpiry">Lic!$A$4</definedName>
    <definedName name="OverFreeLimit">MAX(COUNTA(Sales!$D$5:$D$20004),COUNTA(Purchases!$D$5:$D$20004),COUNTA(CashBook!$C$5:$C$20004))&gt;200</definedName>
    <definedName name="DFrom">Dashboard!$D$4</definedName>
    <definedName name="DTo">Dashboard!$G$4</definedName>
    <definedName name="IN_Items">Items!$A$5:$K$2004</definedName>
    <definedName name="IN_Parties">Parties!$A$5:$I$1004</definedName>
    <definedName name="IN_Purchases">Purchases!$A$5:$H$20004</definedName>
    <definedName name="IN_Sales">Sales!$A$5:$I$20004</definedName>
    <definedName name="IN_CashBook">CashBook!$A$5:$H$20004</definedName>
    <definedName name="IN_Adjust">Adjustments!$A$5:$E$2004</definedName>
    <definedName name="IN_Settings">Settings!$B$4:$B$15</definedName>
    <definedName name="_xlnm._FilterDatabase" localSheetId="1" hidden="1">'Sales'!$A$4:$X$20004</definedName>
    <definedName name="_xlnm._FilterDatabase" localSheetId="2" hidden="1">'Purchases'!$A$4:$S$20004</definedName>
    <definedName name="_xlnm._FilterDatabase" localSheetId="3" hidden="1">'CashBook'!$A$4:$K$20004</definedName>
    <definedName name="_xlnm._FilterDatabase" localSheetId="4" hidden="1">'Items'!$A$4:$Z$2004</definedName>
    <definedName name="_xlnm._FilterDatabase" localSheetId="5" hidden="1">'Parties'!$A$4:$S$1004</definedName>
    <definedName name="_xlnm._FilterDatabase" localSheetId="6" hidden="1">'Adjustments'!$A$4:$G$2004</definedName>
    <definedName name="_xlnm.Print_Area" localSheetId="7">'Invoice'!$A$1:$K$43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"/>
    <numFmt numFmtId="166" formatCode="&quot;₹&quot;#,##0.00;[Red]-&quot;₹&quot;#,##0.00;&quot;-&quot;"/>
    <numFmt numFmtId="167" formatCode="0.##%"/>
    <numFmt numFmtId="168" formatCode="#,##0.##;[Red]-#,##0.##;&quot;-&quot;"/>
    <numFmt numFmtId="169" formatCode="0.0%;[Red]-0.0%;&quot;-&quot;"/>
    <numFmt numFmtId="170" formatCode="&quot;₹&quot;#,##0;[Red]-&quot;₹&quot;#,##0;&quot;-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0563C1"/>
      <u val="single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sz val="8"/>
    </font>
    <font>
      <name val="Arial"/>
      <color rgb="000000FF"/>
      <sz val="8"/>
    </font>
    <font>
      <name val="Arial"/>
      <color rgb="00595959"/>
      <sz val="8"/>
    </font>
    <font>
      <name val="Arial"/>
      <b val="1"/>
      <color rgb="001F3864"/>
      <sz val="18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color rgb="00C00000"/>
      <sz val="9"/>
    </font>
    <font>
      <name val="Arial"/>
      <color rgb="00008000"/>
      <sz val="10"/>
    </font>
    <font>
      <name val="Arial"/>
      <b val="1"/>
      <color rgb="00FFFFFF"/>
      <sz val="2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595959"/>
      <sz val="8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8DC"/>
        <bgColor rgb="00FFF8DC"/>
      </patternFill>
    </fill>
    <fill>
      <patternFill patternType="solid">
        <fgColor rgb="000E7C86"/>
        <bgColor rgb="000E7C86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EEF3FA"/>
        <bgColor rgb="00EEF3FA"/>
      </patternFill>
    </fill>
    <fill>
      <patternFill patternType="solid">
        <fgColor rgb="00F9A825"/>
        <bgColor rgb="00F9A825"/>
      </patternFill>
    </fill>
    <fill>
      <patternFill patternType="solid">
        <fgColor rgb="002E7D32"/>
        <bgColor rgb="002E7D32"/>
      </patternFill>
    </fill>
    <fill>
      <patternFill patternType="solid">
        <fgColor rgb="001B5E20"/>
        <bgColor rgb="001B5E20"/>
      </patternFill>
    </fill>
    <fill>
      <patternFill patternType="solid">
        <fgColor rgb="006A1B9A"/>
        <bgColor rgb="006A1B9A"/>
      </patternFill>
    </fill>
    <fill>
      <patternFill patternType="solid">
        <fgColor rgb="00C62828"/>
        <bgColor rgb="00C62828"/>
      </patternFill>
    </fill>
    <fill>
      <patternFill patternType="solid">
        <fgColor rgb="0000838F"/>
        <bgColor rgb="0000838F"/>
      </patternFill>
    </fill>
    <fill>
      <patternFill patternType="solid">
        <fgColor rgb="00EF6C00"/>
        <bgColor rgb="00EF6C00"/>
      </patternFill>
    </fill>
    <fill>
      <patternFill patternType="solid">
        <fgColor rgb="00AD1457"/>
        <bgColor rgb="00AD1457"/>
      </patternFill>
    </fill>
    <fill>
      <patternFill patternType="solid">
        <fgColor rgb="00283593"/>
        <bgColor rgb="00283593"/>
      </patternFill>
    </fill>
    <fill>
      <patternFill patternType="solid">
        <fgColor rgb="00455A64"/>
        <bgColor rgb="00455A64"/>
      </patternFill>
    </fill>
    <fill>
      <patternFill patternType="solid">
        <fgColor rgb="006D4C41"/>
        <bgColor rgb="006D4C41"/>
      </patternFill>
    </fill>
    <fill>
      <patternFill patternType="solid">
        <fgColor rgb="00D84315"/>
        <bgColor rgb="00D84315"/>
      </patternFill>
    </fill>
    <fill>
      <patternFill patternType="solid">
        <fgColor rgb="000277BD"/>
        <bgColor rgb="000277BD"/>
      </patternFill>
    </fill>
    <fill>
      <patternFill patternType="solid">
        <fgColor rgb="0037474F"/>
        <bgColor rgb="0037474F"/>
      </patternFill>
    </fill>
    <fill>
      <patternFill patternType="solid">
        <fgColor rgb="005E35B1"/>
        <bgColor rgb="005E35B1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FFFFFF"/>
      </left>
      <right style="thick">
        <color rgb="00FFFFFF"/>
      </right>
    </border>
    <border>
      <bottom style="thin">
        <color rgb="00BFBFBF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0" pivotButton="0" quotePrefix="0" xfId="0"/>
    <xf numFmtId="0" fontId="20" fillId="2" borderId="0" pivotButton="0" quotePrefix="0" xfId="0"/>
    <xf numFmtId="0" fontId="2" fillId="2" borderId="0" pivotButton="0" quotePrefix="0" xfId="0"/>
    <xf numFmtId="0" fontId="21" fillId="8" borderId="0" applyAlignment="1" pivotButton="0" quotePrefix="0" xfId="0">
      <alignment horizontal="center" vertical="center"/>
    </xf>
    <xf numFmtId="0" fontId="4" fillId="0" borderId="0" pivotButton="0" quotePrefix="0" xfId="0"/>
    <xf numFmtId="165" fontId="22" fillId="3" borderId="1" pivotButton="0" quotePrefix="0" xfId="0"/>
    <xf numFmtId="0" fontId="9" fillId="0" borderId="0" pivotButton="0" quotePrefix="0" xfId="0"/>
    <xf numFmtId="0" fontId="23" fillId="0" borderId="0" applyAlignment="1" pivotButton="0" quotePrefix="0" xfId="0">
      <alignment horizontal="right"/>
    </xf>
    <xf numFmtId="0" fontId="21" fillId="4" borderId="2" applyAlignment="1" pivotButton="0" quotePrefix="0" xfId="0">
      <alignment horizontal="center" vertical="center" wrapText="1"/>
    </xf>
    <xf numFmtId="0" fontId="24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24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70" fontId="1" fillId="4" borderId="0" applyAlignment="1" pivotButton="0" quotePrefix="0" xfId="0">
      <alignment horizontal="center" vertical="center"/>
    </xf>
    <xf numFmtId="170" fontId="1" fillId="9" borderId="0" applyAlignment="1" pivotButton="0" quotePrefix="0" xfId="0">
      <alignment horizontal="center" vertical="center"/>
    </xf>
    <xf numFmtId="170" fontId="1" fillId="10" borderId="0" applyAlignment="1" pivotButton="0" quotePrefix="0" xfId="0">
      <alignment horizontal="center" vertical="center"/>
    </xf>
    <xf numFmtId="170" fontId="1" fillId="11" borderId="0" applyAlignment="1" pivotButton="0" quotePrefix="0" xfId="0">
      <alignment horizontal="center" vertical="center"/>
    </xf>
    <xf numFmtId="170" fontId="1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4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169" fontId="1" fillId="13" borderId="0" applyAlignment="1" pivotButton="0" quotePrefix="0" xfId="0">
      <alignment horizontal="center" vertical="center"/>
    </xf>
    <xf numFmtId="170" fontId="1" fillId="14" borderId="0" applyAlignment="1" pivotButton="0" quotePrefix="0" xfId="0">
      <alignment horizontal="center" vertical="center"/>
    </xf>
    <xf numFmtId="170" fontId="1" fillId="15" borderId="0" applyAlignment="1" pivotButton="0" quotePrefix="0" xfId="0">
      <alignment horizontal="center" vertical="center"/>
    </xf>
    <xf numFmtId="170" fontId="1" fillId="16" borderId="0" applyAlignment="1" pivotButton="0" quotePrefix="0" xfId="0">
      <alignment horizontal="center" vertical="center"/>
    </xf>
    <xf numFmtId="170" fontId="1" fillId="17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24" fillId="19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1" fontId="1" fillId="8" borderId="0" applyAlignment="1" pivotButton="0" quotePrefix="0" xfId="0">
      <alignment horizontal="center" vertical="center"/>
    </xf>
    <xf numFmtId="1" fontId="1" fillId="18" borderId="0" applyAlignment="1" pivotButton="0" quotePrefix="0" xfId="0">
      <alignment horizontal="center" vertical="center"/>
    </xf>
    <xf numFmtId="1" fontId="1" fillId="19" borderId="0" applyAlignment="1" pivotButton="0" quotePrefix="0" xfId="0">
      <alignment horizontal="center" vertical="center"/>
    </xf>
    <xf numFmtId="1" fontId="1" fillId="20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9" fillId="0" borderId="0" pivotButton="0" quotePrefix="0" xfId="0"/>
    <xf numFmtId="170" fontId="0" fillId="0" borderId="0" pivotButton="0" quotePrefix="0" xfId="0"/>
    <xf numFmtId="170" fontId="4" fillId="0" borderId="0" pivotButton="0" quotePrefix="0" xfId="0"/>
    <xf numFmtId="0" fontId="0" fillId="0" borderId="3" pivotButton="0" quotePrefix="0" xfId="0"/>
    <xf numFmtId="170" fontId="0" fillId="0" borderId="3" pivotButton="0" quotePrefix="0" xfId="0"/>
    <xf numFmtId="168" fontId="0" fillId="0" borderId="3" pivotButton="0" quotePrefix="0" xfId="0"/>
    <xf numFmtId="170" fontId="17" fillId="7" borderId="0" pivotButton="0" quotePrefix="0" xfId="0"/>
    <xf numFmtId="165" fontId="5" fillId="3" borderId="0" pivotButton="0" quotePrefix="0" xfId="0"/>
    <xf numFmtId="0" fontId="5" fillId="3" borderId="0" pivotButton="0" quotePrefix="0" xfId="0"/>
    <xf numFmtId="168" fontId="5" fillId="3" borderId="0" pivotButton="0" quotePrefix="0" xfId="0"/>
    <xf numFmtId="166" fontId="5" fillId="3" borderId="0" pivotButton="0" quotePrefix="0" xfId="0"/>
    <xf numFmtId="169" fontId="5" fillId="3" borderId="0" pivotButton="0" quotePrefix="0" xfId="0"/>
    <xf numFmtId="0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2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7" fontId="5" fillId="3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5" fontId="6" fillId="0" borderId="0" pivotButton="0" quotePrefix="0" xfId="0"/>
    <xf numFmtId="1" fontId="6" fillId="0" borderId="0" pivotButton="0" quotePrefix="0" xfId="0"/>
    <xf numFmtId="170" fontId="5" fillId="3" borderId="0" pivotButton="0" quotePrefix="0" xfId="0"/>
    <xf numFmtId="1" fontId="5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horizontal="center"/>
    </xf>
    <xf numFmtId="0" fontId="15" fillId="3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8" fontId="6" fillId="0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7" fontId="6" fillId="0" borderId="1" pivotButton="0" quotePrefix="0" xfId="0"/>
    <xf numFmtId="0" fontId="18" fillId="0" borderId="0" pivotButton="0" quotePrefix="0" xfId="0"/>
    <xf numFmtId="166" fontId="0" fillId="0" borderId="1" pivotButton="0" quotePrefix="0" xfId="0"/>
    <xf numFmtId="166" fontId="17" fillId="7" borderId="1" pivotButton="0" quotePrefix="0" xfId="0"/>
    <xf numFmtId="17" fontId="6" fillId="0" borderId="1" pivotButton="0" quotePrefix="0" xfId="0"/>
    <xf numFmtId="170" fontId="6" fillId="0" borderId="1" pivotButton="0" quotePrefix="0" xfId="0"/>
    <xf numFmtId="0" fontId="4" fillId="7" borderId="1" pivotButton="0" quotePrefix="0" xfId="0"/>
    <xf numFmtId="170" fontId="4" fillId="7" borderId="1" pivotButton="0" quotePrefix="0" xfId="0"/>
    <xf numFmtId="169" fontId="4" fillId="7" borderId="1" pivotButton="0" quotePrefix="0" xfId="0"/>
    <xf numFmtId="167" fontId="19" fillId="0" borderId="1" pivotButton="0" quotePrefix="0" xfId="0"/>
    <xf numFmtId="170" fontId="0" fillId="0" borderId="1" pivotButton="0" quotePrefix="0" xfId="0"/>
    <xf numFmtId="0" fontId="19" fillId="0" borderId="1" pivotButton="0" quotePrefix="0" xfId="0"/>
    <xf numFmtId="169" fontId="0" fillId="0" borderId="1" pivotButton="0" quotePrefix="0" xfId="0"/>
    <xf numFmtId="0" fontId="5" fillId="3" borderId="1" pivotButton="0" quotePrefix="0" xfId="0"/>
    <xf numFmtId="167" fontId="5" fillId="3" borderId="1" pivotButton="0" quotePrefix="0" xfId="0"/>
    <xf numFmtId="165" fontId="5" fillId="3" borderId="1" pivotButton="0" quotePrefix="0" xfId="0"/>
    <xf numFmtId="165" fontId="6" fillId="3" borderId="1" pivotButton="0" quotePrefix="0" xfId="0"/>
    <xf numFmtId="1" fontId="5" fillId="3" borderId="1" pivotButton="0" quotePrefix="0" xfId="0"/>
    <xf numFmtId="49" fontId="5" fillId="3" borderId="1" pivotButton="0" quotePrefix="0" xfId="0"/>
    <xf numFmtId="0" fontId="8" fillId="4" borderId="1" pivotButton="0" quotePrefix="0" xfId="0"/>
    <xf numFmtId="166" fontId="5" fillId="3" borderId="1" pivotButton="0" quotePrefix="0" xfId="0"/>
    <xf numFmtId="0" fontId="1" fillId="2" borderId="0" pivotButton="0" quotePrefix="0" xfId="0"/>
    <xf numFmtId="0" fontId="25" fillId="8" borderId="0" applyAlignment="1" pivotButton="0" quotePrefix="0" xfId="0">
      <alignment horizontal="center"/>
    </xf>
    <xf numFmtId="0" fontId="8" fillId="2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1" applyAlignment="1" pivotButton="0" quotePrefix="0" xfId="0">
      <alignment horizontal="left"/>
    </xf>
    <xf numFmtId="17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left" wrapText="1"/>
    </xf>
    <xf numFmtId="0" fontId="8" fillId="4" borderId="1" applyAlignment="1" pivotButton="0" quotePrefix="0" xfId="0">
      <alignment horizontal="center" wrapText="1"/>
    </xf>
    <xf numFmtId="0" fontId="4" fillId="23" borderId="1" applyAlignment="1" pivotButton="0" quotePrefix="0" xfId="0">
      <alignment horizontal="left" wrapText="1"/>
    </xf>
    <xf numFmtId="0" fontId="4" fillId="2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25" fillId="4" borderId="0" pivotButton="0" quotePrefix="0" xfId="0"/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2E7D32"/>
          <bgColor rgb="002E7D32"/>
        </patternFill>
      </fill>
    </dxf>
    <dxf>
      <fill>
        <patternFill patternType="solid">
          <fgColor rgb="00C62828"/>
          <bgColor rgb="00C62828"/>
        </patternFill>
      </fill>
    </dxf>
    <dxf>
      <font>
        <b val="1"/>
        <color rgb="00FFFFFF"/>
      </font>
      <fill>
        <patternFill patternType="solid">
          <fgColor rgb="00C62828"/>
          <bgColor rgb="00C62828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7C80"/>
          <bgColor rgb="00FF7C80"/>
        </patternFill>
      </fill>
    </dxf>
    <dxf>
      <fill>
        <patternFill patternType="solid">
          <fgColor rgb="00D9D2E9"/>
          <bgColor rgb="00D9D2E9"/>
        </patternFill>
      </fill>
    </dxf>
    <dxf>
      <font>
        <b val="1"/>
        <color rgb="005E35B1"/>
      </font>
      <fill>
        <patternFill patternType="solid">
          <fgColor rgb="00D9D2E9"/>
          <bgColor rgb="00D9D2E9"/>
        </patternFill>
      </fill>
    </dxf>
    <dxf>
      <fill>
        <patternFill patternType="solid">
          <fgColor rgb="00FFF1C1"/>
          <bgColor rgb="00FFF1C1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vs Purchases (FY)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'Reports'!$B$5:$B$16</f>
            </numRef>
          </val>
        </ser>
        <ser>
          <idx val="1"/>
          <order val="1"/>
          <tx>
            <strRef>
              <f>'Reports'!J4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'Reports'!$J$5:$J$16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&amp; Net Profit (FY)</a:t>
            </a:r>
          </a:p>
        </rich>
      </tx>
    </title>
    <plotArea>
      <lineChart>
        <grouping val="standard"/>
        <ser>
          <idx val="0"/>
          <order val="0"/>
          <tx>
            <strRef>
              <f>'Reports'!D4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'Reports'!$D$5:$D$16</f>
            </numRef>
          </val>
        </ser>
        <ser>
          <idx val="1"/>
          <order val="1"/>
          <tx>
            <strRef>
              <f>'Reports'!I4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'Reports'!$I$5:$I$16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ERP</author>
  </authors>
  <commentList>
    <comment ref="R4" authorId="0" shapeId="0">
      <text>
        <t>Days since the last receipt from this party (or since the last sale if nothing was ever received). OVERDUE when this exceeds Credit Days.</t>
      </text>
    </comment>
  </commentList>
</comments>
</file>

<file path=xl/comments/comment2.xml><?xml version="1.0" encoding="utf-8"?>
<comments xmlns="http://schemas.openxmlformats.org/spreadsheetml/2006/main">
  <authors>
    <author>ERP</author>
  </authors>
  <commentList>
    <comment ref="C7" authorId="0" shapeId="0">
      <text>
        <t>Defaults to the latest invoice. Overwrite with any invoice number to reprint it.</t>
      </text>
    </comment>
  </commentList>
</comments>
</file>

<file path=xl/comments/comment3.xml><?xml version="1.0" encoding="utf-8"?>
<comments xmlns="http://schemas.openxmlformats.org/spreadsheetml/2006/main">
  <authors>
    <author>ERP</author>
  </authors>
  <commentList>
    <comment ref="B10" authorId="0" shapeId="0">
      <text>
        <t>Leave as =TODAY() for live reports, or type a fixed date to view history. This is the ONLY volatile formula in the workbook.</t>
      </text>
    </comment>
    <comment ref="B15" authorId="0" shapeId="0">
      <text>
        <t>Paste the key you received after buying Pro, e.g. PRO-H270415-7QZ4. It works only with the mobile number above. See the Plans sheet.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6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ales!A1" TargetMode="External" Id="rId1"/><Relationship Type="http://schemas.openxmlformats.org/officeDocument/2006/relationships/hyperlink" Target="#Purchases!A1" TargetMode="External" Id="rId2"/><Relationship Type="http://schemas.openxmlformats.org/officeDocument/2006/relationships/hyperlink" Target="#CashBook!A1" TargetMode="External" Id="rId3"/><Relationship Type="http://schemas.openxmlformats.org/officeDocument/2006/relationships/hyperlink" Target="#Items!A1" TargetMode="External" Id="rId4"/><Relationship Type="http://schemas.openxmlformats.org/officeDocument/2006/relationships/hyperlink" Target="#Parties!A1" TargetMode="External" Id="rId5"/><Relationship Type="http://schemas.openxmlformats.org/officeDocument/2006/relationships/hyperlink" Target="#Invoice!A1" TargetMode="External" Id="rId6"/><Relationship Type="http://schemas.openxmlformats.org/officeDocument/2006/relationships/hyperlink" Target="#Adjustments!A1" TargetMode="External" Id="rId7"/><Relationship Type="http://schemas.openxmlformats.org/officeDocument/2006/relationships/hyperlink" Target="#Reports!A1" TargetMode="External" Id="rId8"/><Relationship Type="http://schemas.openxmlformats.org/officeDocument/2006/relationships/hyperlink" Target="#Settings!A1" TargetMode="External" Id="rId9"/><Relationship Type="http://schemas.openxmlformats.org/officeDocument/2006/relationships/hyperlink" Target="#Guide!A1" TargetMode="External" Id="rId10"/><Relationship Type="http://schemas.openxmlformats.org/officeDocument/2006/relationships/hyperlink" Target="#Plans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34" customHeight="1">
      <c r="A1" s="1" t="n"/>
      <c r="B1" s="2">
        <f>CoName&amp;"  ·  SmartTrader ERP (C Engine)"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3">
        <f>"Live business cockpit  ·  Period: "&amp;DAY(D4)&amp;"/"&amp;MONTH(D4)&amp;"/"&amp;YEAR(D4)&amp;" to "&amp;DAY(G4)&amp;"/"&amp;MONTH(G4)&amp;"/"&amp;YEAR(G4)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0" customHeight="1">
      <c r="B3" s="4">
        <f>IF(IsPro,LicStatus&amp;"   ·   lines used: "&amp;"Sales "&amp;COUNTA(Sales!$D$5:$D$20004)&amp;"  ·  Purchases "&amp;COUNTA(Purchases!$D$5:$D$20004)&amp;"  ·  Cash Book "&amp;COUNTA(CashBook!$C$5:$C$20004),LicStatus&amp;"  ·  first 200 lines per register  ·  used: "&amp;"Sales "&amp;COUNTA(Sales!$D$5:$D$20004)&amp;"  ·  Purchases "&amp;COUNTA(Purchases!$D$5:$D$20004)&amp;"  ·  Cash Book "&amp;COUNTA(CashBook!$C$5:$C$20004)&amp;IF(OverFreeLimit,"   &gt;&gt;  LIMIT REACHED: newer lines are not counted - upgrade on the Plans sheet",""))</f>
        <v/>
      </c>
    </row>
    <row r="4">
      <c r="B4" s="5" t="inlineStr">
        <is>
          <t>From</t>
        </is>
      </c>
      <c r="D4" s="6">
        <f>FYStart</f>
        <v/>
      </c>
      <c r="E4" s="5" t="inlineStr">
        <is>
          <t>To</t>
        </is>
      </c>
      <c r="G4" s="6">
        <f>AsOf</f>
        <v/>
      </c>
      <c r="H4" s="7" t="inlineStr">
        <is>
          <t>← overwrite these dates to analyse any period</t>
        </is>
      </c>
      <c r="K4" s="8">
        <f>IFERROR("Engine: "&amp;_xll.ST_VERSION(),"!! C engine not loaded - see Guide")</f>
        <v/>
      </c>
    </row>
    <row r="6" ht="24" customHeight="1">
      <c r="B6" s="9" t="inlineStr">
        <is>
          <t>New Sale</t>
        </is>
      </c>
      <c r="C6" s="9" t="inlineStr">
        <is>
          <t>Purchase</t>
        </is>
      </c>
      <c r="D6" s="9" t="inlineStr">
        <is>
          <t>Cash Book</t>
        </is>
      </c>
      <c r="E6" s="9" t="inlineStr">
        <is>
          <t>Items</t>
        </is>
      </c>
      <c r="F6" s="9" t="inlineStr">
        <is>
          <t>Parties</t>
        </is>
      </c>
      <c r="G6" s="9" t="inlineStr">
        <is>
          <t>Invoice</t>
        </is>
      </c>
      <c r="H6" s="9" t="inlineStr">
        <is>
          <t>Adjust</t>
        </is>
      </c>
      <c r="I6" s="9" t="inlineStr">
        <is>
          <t>Reports</t>
        </is>
      </c>
      <c r="J6" s="9" t="inlineStr">
        <is>
          <t>Settings</t>
        </is>
      </c>
      <c r="K6" s="9" t="inlineStr">
        <is>
          <t>Guide</t>
        </is>
      </c>
      <c r="L6" s="9" t="inlineStr">
        <is>
          <t>PRO Plans</t>
        </is>
      </c>
    </row>
    <row r="8">
      <c r="B8" s="10" t="inlineStr">
        <is>
          <t>SALES (excl. GST)</t>
        </is>
      </c>
      <c r="C8" s="11" t="n"/>
      <c r="D8" s="12" t="inlineStr">
        <is>
          <t>GROSS PROFIT</t>
        </is>
      </c>
      <c r="E8" s="13" t="n"/>
      <c r="F8" s="14" t="inlineStr">
        <is>
          <t>NET PROFIT</t>
        </is>
      </c>
      <c r="G8" s="15" t="n"/>
      <c r="H8" s="16" t="inlineStr">
        <is>
          <t>PURCHASES (excl. GST)</t>
        </is>
      </c>
      <c r="I8" s="17" t="n"/>
      <c r="J8" s="18" t="inlineStr">
        <is>
          <t>EXPENSES</t>
        </is>
      </c>
      <c r="K8" s="19" t="n"/>
    </row>
    <row r="9" ht="30" customHeight="1">
      <c r="B9" s="20">
        <f>SUMIFS(Sales!$L$5:INDEX(Sales!$L$5:$L$20004,TxRows),Sales!$A$5:INDEX(Sales!$A$5:$A$20004,TxRows),"&gt;="&amp;DFrom,Sales!$A$5:INDEX(Sales!$A$5:$A$20004,TxRows),"&lt;="&amp;DTo)</f>
        <v/>
      </c>
      <c r="C9" s="11" t="n"/>
      <c r="D9" s="21">
        <f>SUMIFS(Sales!$S$5:INDEX(Sales!$S$5:$S$20004,TxRows),Sales!$A$5:INDEX(Sales!$A$5:$A$20004,TxRows),"&gt;="&amp;DFrom,Sales!$A$5:INDEX(Sales!$A$5:$A$20004,TxRows),"&lt;="&amp;DTo)</f>
        <v/>
      </c>
      <c r="E9" s="13" t="n"/>
      <c r="F9" s="22">
        <f>D9-SUMIFS(CashBook!$G$5:INDEX(CashBook!$G$5:$G$20004,TxRows),CashBook!$C$5:INDEX(CashBook!$C$5:$C$20004,TxRows),"Expense",CashBook!$A$5:INDEX(CashBook!$A$5:$A$20004,TxRows),"&gt;="&amp;DFrom,CashBook!$A$5:INDEX(CashBook!$A$5:$A$20004,TxRows),"&lt;="&amp;DTo)+SUMIFS(CashBook!$G$5:INDEX(CashBook!$G$5:$G$20004,TxRows),CashBook!$C$5:INDEX(CashBook!$C$5:$C$20004,TxRows),"Other Income",CashBook!$A$5:INDEX(CashBook!$A$5:$A$20004,TxRows),"&gt;="&amp;DFrom,CashBook!$A$5:INDEX(CashBook!$A$5:$A$20004,TxRows),"&lt;="&amp;DTo)+SUMIFS(Adjustments!$G$5:$G$2004,Adjustments!$A$5:$A$2004,"&gt;="&amp;DFrom,Adjustments!$A$5:$A$2004,"&lt;="&amp;DTo)</f>
        <v/>
      </c>
      <c r="G9" s="15" t="n"/>
      <c r="H9" s="23">
        <f>SUMIFS(Purchases!$K$5:INDEX(Purchases!$K$5:$K$20004,TxRows),Purchases!$A$5:INDEX(Purchases!$A$5:$A$20004,TxRows),"&gt;="&amp;DFrom,Purchases!$A$5:INDEX(Purchases!$A$5:$A$20004,TxRows),"&lt;="&amp;DTo)</f>
        <v/>
      </c>
      <c r="I9" s="17" t="n"/>
      <c r="J9" s="24">
        <f>SUMIFS(CashBook!$G$5:INDEX(CashBook!$G$5:$G$20004,TxRows),CashBook!$C$5:INDEX(CashBook!$C$5:$C$20004,TxRows),"Expense",CashBook!$A$5:INDEX(CashBook!$A$5:$A$20004,TxRows),"&gt;="&amp;DFrom,CashBook!$A$5:INDEX(CashBook!$A$5:$A$20004,TxRows),"&lt;="&amp;DTo)</f>
        <v/>
      </c>
      <c r="K9" s="19" t="n"/>
    </row>
    <row r="11">
      <c r="B11" s="25" t="inlineStr">
        <is>
          <t>GP MARGIN</t>
        </is>
      </c>
      <c r="C11" s="26" t="n"/>
      <c r="D11" s="27" t="inlineStr">
        <is>
          <t>RECEIVABLES (owed to you)</t>
        </is>
      </c>
      <c r="E11" s="28" t="n"/>
      <c r="F11" s="29" t="inlineStr">
        <is>
          <t>PAYABLES (you owe)</t>
        </is>
      </c>
      <c r="G11" s="30" t="n"/>
      <c r="H11" s="31" t="inlineStr">
        <is>
          <t>STOCK VALUE (at cost)</t>
        </is>
      </c>
      <c r="I11" s="32" t="n"/>
      <c r="J11" s="33" t="inlineStr">
        <is>
          <t>NET GST PAYABLE</t>
        </is>
      </c>
      <c r="K11" s="34" t="n"/>
    </row>
    <row r="12" ht="30" customHeight="1">
      <c r="B12" s="35">
        <f>IF(B9=0,0,D9/B9)</f>
        <v/>
      </c>
      <c r="C12" s="26" t="n"/>
      <c r="D12" s="36">
        <f>SUMIF(Parties!$N$5:$N$1004,"&gt;0")</f>
        <v/>
      </c>
      <c r="E12" s="28" t="n"/>
      <c r="F12" s="37">
        <f>-SUMIF(Parties!$N$5:$N$1004,"&lt;0")</f>
        <v/>
      </c>
      <c r="G12" s="30" t="n"/>
      <c r="H12" s="38">
        <f>SUM(Items!$Q$5:$Q$2004)</f>
        <v/>
      </c>
      <c r="I12" s="32" t="n"/>
      <c r="J12" s="39">
        <f>SUMIFS(Sales!$N$5:INDEX(Sales!$N$5:$N$20004,TxRows),Sales!$A$5:INDEX(Sales!$A$5:$A$20004,TxRows),"&gt;="&amp;DFrom,Sales!$A$5:INDEX(Sales!$A$5:$A$20004,TxRows),"&lt;="&amp;DTo)+SUMIFS(Sales!$O$5:INDEX(Sales!$O$5:$O$20004,TxRows),Sales!$A$5:INDEX(Sales!$A$5:$A$20004,TxRows),"&gt;="&amp;DFrom,Sales!$A$5:INDEX(Sales!$A$5:$A$20004,TxRows),"&lt;="&amp;DTo)+SUMIFS(Sales!$P$5:INDEX(Sales!$P$5:$P$20004,TxRows),Sales!$A$5:INDEX(Sales!$A$5:$A$20004,TxRows),"&gt;="&amp;DFrom,Sales!$A$5:INDEX(Sales!$A$5:$A$20004,TxRows),"&lt;="&amp;DTo)-SUMIFS(Purchases!$M$5:INDEX(Purchases!$M$5:$M$20004,TxRows),Purchases!$A$5:INDEX(Purchases!$A$5:$A$20004,TxRows),"&gt;="&amp;DFrom,Purchases!$A$5:INDEX(Purchases!$A$5:$A$20004,TxRows),"&lt;="&amp;DTo)-SUMIFS(Purchases!$N$5:INDEX(Purchases!$N$5:$N$20004,TxRows),Purchases!$A$5:INDEX(Purchases!$A$5:$A$20004,TxRows),"&gt;="&amp;DFrom,Purchases!$A$5:INDEX(Purchases!$A$5:$A$20004,TxRows),"&lt;="&amp;DTo)-SUMIFS(Purchases!$O$5:INDEX(Purchases!$O$5:$O$20004,TxRows),Purchases!$A$5:INDEX(Purchases!$A$5:$A$20004,TxRows),"&gt;="&amp;DFrom,Purchases!$A$5:INDEX(Purchases!$A$5:$A$20004,TxRows),"&lt;="&amp;DTo)</f>
        <v/>
      </c>
      <c r="K12" s="34" t="n"/>
    </row>
    <row r="14">
      <c r="B14" s="40" t="inlineStr">
        <is>
          <t>ITEMS TO REORDER</t>
        </is>
      </c>
      <c r="C14" s="41" t="n"/>
      <c r="D14" s="42" t="inlineStr">
        <is>
          <t>DEAD-STOCK ITEMS</t>
        </is>
      </c>
      <c r="E14" s="43" t="n"/>
      <c r="F14" s="44" t="inlineStr">
        <is>
          <t>OVERDUE CUSTOMERS</t>
        </is>
      </c>
      <c r="G14" s="45" t="n"/>
      <c r="H14" s="46" t="inlineStr">
        <is>
          <t>PENDING DELIVERIES (lines)</t>
        </is>
      </c>
      <c r="I14" s="47" t="n"/>
      <c r="J14" s="48" t="inlineStr">
        <is>
          <t>NEXT INVOICE No.</t>
        </is>
      </c>
      <c r="K14" s="49" t="n"/>
    </row>
    <row r="15" ht="30" customHeight="1">
      <c r="B15" s="50">
        <f>COUNTIF(Items!$R$5:$R$2004,"REORDER")+COUNTIF(Items!$R$5:$R$2004,"OUT OF STOCK")+COUNTIF(Items!$R$5:$R$2004,"NEGATIVE")</f>
        <v/>
      </c>
      <c r="C15" s="41" t="n"/>
      <c r="D15" s="51">
        <f>COUNTIF(Items!$R$5:$R$2004,"DEAD STOCK")</f>
        <v/>
      </c>
      <c r="E15" s="43" t="n"/>
      <c r="F15" s="52">
        <f>COUNTIF(Parties!$S$5:$S$1004,"OVERDUE")+COUNTIF(Parties!$S$5:$S$1004,"OVER LIMIT")</f>
        <v/>
      </c>
      <c r="G15" s="45" t="n"/>
      <c r="H15" s="53">
        <f>COUNTIFS(Sales!$I$5:INDEX(Sales!$I$5:$I$20004,TxRows),"Pending")+COUNTIFS(Sales!$I$5:INDEX(Sales!$I$5:$I$20004,TxRows),"Packed")</f>
        <v/>
      </c>
      <c r="I15" s="47" t="n"/>
      <c r="J15" s="54">
        <f>InvPrefix&amp;TEXT(MAX(Sales!$W$5:INDEX(Sales!$W$5:$W$20004,TxRows))+1,"0000")</f>
        <v/>
      </c>
      <c r="K15" s="49" t="n"/>
    </row>
    <row r="18">
      <c r="B18" s="55" t="inlineStr">
        <is>
          <t>CASH &amp; BANK BALANCES (as of 'To' date)</t>
        </is>
      </c>
      <c r="I18" s="55" t="inlineStr">
        <is>
          <t>TOP 10 ITEMS BY SALES (all time)</t>
        </is>
      </c>
    </row>
    <row r="19">
      <c r="B19" s="56" t="inlineStr">
        <is>
          <t>Account</t>
        </is>
      </c>
      <c r="C19" s="57" t="n"/>
      <c r="D19" s="56" t="inlineStr">
        <is>
          <t>Opening</t>
        </is>
      </c>
      <c r="E19" s="56" t="inlineStr">
        <is>
          <t>In</t>
        </is>
      </c>
      <c r="F19" s="56" t="inlineStr">
        <is>
          <t>Out</t>
        </is>
      </c>
      <c r="G19" s="56" t="inlineStr">
        <is>
          <t>Balance</t>
        </is>
      </c>
      <c r="I19" s="56" t="inlineStr">
        <is>
          <t>#</t>
        </is>
      </c>
      <c r="J19" s="56" t="inlineStr">
        <is>
          <t>Item</t>
        </is>
      </c>
      <c r="K19" s="56" t="inlineStr"/>
      <c r="L19" s="56" t="inlineStr">
        <is>
          <t>Sales (₹)</t>
        </is>
      </c>
      <c r="M19" s="56" t="inlineStr">
        <is>
          <t>Stock</t>
        </is>
      </c>
      <c r="N19" s="56" t="inlineStr">
        <is>
          <t>Status</t>
        </is>
      </c>
    </row>
    <row r="20">
      <c r="B20" s="58">
        <f>IF(Settings!$A$18="","",Settings!$A$18)</f>
        <v/>
      </c>
      <c r="D20" s="59">
        <f>IF(B20="","",N(Settings!$B$18))</f>
        <v/>
      </c>
      <c r="E20" s="59">
        <f>IF(B20="","",SUMIFS(CashBook!$I$5:INDEX(CashBook!$I$5:$I$20004,TxRows),CashBook!$F$5:INDEX(CashBook!$F$5:$F$20004,TxRows),B20,CashBook!$A$5:INDEX(CashBook!$A$5:$A$20004,TxRows),"&lt;="&amp;DTo)+SUMIFS(Sales!$X$5:INDEX(Sales!$X$5:$X$20004,TxRows),Sales!$H$5:INDEX(Sales!$H$5:$H$20004,TxRows),B20,Sales!$A$5:INDEX(Sales!$A$5:$A$20004,TxRows),"&lt;="&amp;DTo))</f>
        <v/>
      </c>
      <c r="F20" s="59">
        <f>IF(B20="","",SUMIFS(CashBook!$J$5:INDEX(CashBook!$J$5:$J$20004,TxRows),CashBook!$F$5:INDEX(CashBook!$F$5:$F$20004,TxRows),B20,CashBook!$A$5:INDEX(CashBook!$A$5:$A$20004,TxRows),"&lt;="&amp;DTo)+SUMIFS(Purchases!$S$5:INDEX(Purchases!$S$5:$S$20004,TxRows),Purchases!$H$5:INDEX(Purchases!$H$5:$H$20004,TxRows),B20,Purchases!$A$5:INDEX(Purchases!$A$5:$A$20004,TxRows),"&lt;="&amp;DTo))</f>
        <v/>
      </c>
      <c r="G20" s="60">
        <f>IF(B20="","",D20+E20-F20)</f>
        <v/>
      </c>
      <c r="I20" s="61" t="n">
        <v>1</v>
      </c>
      <c r="J20" s="61">
        <f>IFERROR(IF(INDEX(Items!$U$5:$U$2004,MATCH(LARGE(Items!$Z$5:$Z$2004,1),Items!$Z$5:$Z$2004,0))=0,"",INDEX(Items!$A$5:$A$2004,MATCH(LARGE(Items!$Z$5:$Z$2004,1),Items!$Z$5:$Z$2004,0))),"")</f>
        <v/>
      </c>
      <c r="K20" s="61" t="n"/>
      <c r="L20" s="62">
        <f>IF(J20="","",INDEX(Items!$U$5:$U$2004,MATCH(LARGE(Items!$Z$5:$Z$2004,1),Items!$Z$5:$Z$2004,0)))</f>
        <v/>
      </c>
      <c r="M20" s="63">
        <f>IF(J20="","",INDEX(Items!$O$5:$O$2004,MATCH(LARGE(Items!$Z$5:$Z$2004,1),Items!$Z$5:$Z$2004,0)))</f>
        <v/>
      </c>
      <c r="N20" s="61">
        <f>IF(J20="","",INDEX(Items!$R$5:$R$2004,MATCH(LARGE(Items!$Z$5:$Z$2004,1),Items!$Z$5:$Z$2004,0)))</f>
        <v/>
      </c>
    </row>
    <row r="21">
      <c r="B21" s="58">
        <f>IF(Settings!$A$19="","",Settings!$A$19)</f>
        <v/>
      </c>
      <c r="D21" s="59">
        <f>IF(B21="","",N(Settings!$B$19))</f>
        <v/>
      </c>
      <c r="E21" s="59">
        <f>IF(B21="","",SUMIFS(CashBook!$I$5:INDEX(CashBook!$I$5:$I$20004,TxRows),CashBook!$F$5:INDEX(CashBook!$F$5:$F$20004,TxRows),B21,CashBook!$A$5:INDEX(CashBook!$A$5:$A$20004,TxRows),"&lt;="&amp;DTo)+SUMIFS(Sales!$X$5:INDEX(Sales!$X$5:$X$20004,TxRows),Sales!$H$5:INDEX(Sales!$H$5:$H$20004,TxRows),B21,Sales!$A$5:INDEX(Sales!$A$5:$A$20004,TxRows),"&lt;="&amp;DTo))</f>
        <v/>
      </c>
      <c r="F21" s="59">
        <f>IF(B21="","",SUMIFS(CashBook!$J$5:INDEX(CashBook!$J$5:$J$20004,TxRows),CashBook!$F$5:INDEX(CashBook!$F$5:$F$20004,TxRows),B21,CashBook!$A$5:INDEX(CashBook!$A$5:$A$20004,TxRows),"&lt;="&amp;DTo)+SUMIFS(Purchases!$S$5:INDEX(Purchases!$S$5:$S$20004,TxRows),Purchases!$H$5:INDEX(Purchases!$H$5:$H$20004,TxRows),B21,Purchases!$A$5:INDEX(Purchases!$A$5:$A$20004,TxRows),"&lt;="&amp;DTo))</f>
        <v/>
      </c>
      <c r="G21" s="60">
        <f>IF(B21="","",D21+E21-F21)</f>
        <v/>
      </c>
      <c r="I21" s="61" t="n">
        <v>2</v>
      </c>
      <c r="J21" s="61">
        <f>IFERROR(IF(INDEX(Items!$U$5:$U$2004,MATCH(LARGE(Items!$Z$5:$Z$2004,2),Items!$Z$5:$Z$2004,0))=0,"",INDEX(Items!$A$5:$A$2004,MATCH(LARGE(Items!$Z$5:$Z$2004,2),Items!$Z$5:$Z$2004,0))),"")</f>
        <v/>
      </c>
      <c r="K21" s="61" t="n"/>
      <c r="L21" s="62">
        <f>IF(J21="","",INDEX(Items!$U$5:$U$2004,MATCH(LARGE(Items!$Z$5:$Z$2004,2),Items!$Z$5:$Z$2004,0)))</f>
        <v/>
      </c>
      <c r="M21" s="63">
        <f>IF(J21="","",INDEX(Items!$O$5:$O$2004,MATCH(LARGE(Items!$Z$5:$Z$2004,2),Items!$Z$5:$Z$2004,0)))</f>
        <v/>
      </c>
      <c r="N21" s="61">
        <f>IF(J21="","",INDEX(Items!$R$5:$R$2004,MATCH(LARGE(Items!$Z$5:$Z$2004,2),Items!$Z$5:$Z$2004,0)))</f>
        <v/>
      </c>
    </row>
    <row r="22">
      <c r="B22" s="58">
        <f>IF(Settings!$A$20="","",Settings!$A$20)</f>
        <v/>
      </c>
      <c r="D22" s="59">
        <f>IF(B22="","",N(Settings!$B$20))</f>
        <v/>
      </c>
      <c r="E22" s="59">
        <f>IF(B22="","",SUMIFS(CashBook!$I$5:INDEX(CashBook!$I$5:$I$20004,TxRows),CashBook!$F$5:INDEX(CashBook!$F$5:$F$20004,TxRows),B22,CashBook!$A$5:INDEX(CashBook!$A$5:$A$20004,TxRows),"&lt;="&amp;DTo)+SUMIFS(Sales!$X$5:INDEX(Sales!$X$5:$X$20004,TxRows),Sales!$H$5:INDEX(Sales!$H$5:$H$20004,TxRows),B22,Sales!$A$5:INDEX(Sales!$A$5:$A$20004,TxRows),"&lt;="&amp;DTo))</f>
        <v/>
      </c>
      <c r="F22" s="59">
        <f>IF(B22="","",SUMIFS(CashBook!$J$5:INDEX(CashBook!$J$5:$J$20004,TxRows),CashBook!$F$5:INDEX(CashBook!$F$5:$F$20004,TxRows),B22,CashBook!$A$5:INDEX(CashBook!$A$5:$A$20004,TxRows),"&lt;="&amp;DTo)+SUMIFS(Purchases!$S$5:INDEX(Purchases!$S$5:$S$20004,TxRows),Purchases!$H$5:INDEX(Purchases!$H$5:$H$20004,TxRows),B22,Purchases!$A$5:INDEX(Purchases!$A$5:$A$20004,TxRows),"&lt;="&amp;DTo))</f>
        <v/>
      </c>
      <c r="G22" s="60">
        <f>IF(B22="","",D22+E22-F22)</f>
        <v/>
      </c>
      <c r="I22" s="61" t="n">
        <v>3</v>
      </c>
      <c r="J22" s="61">
        <f>IFERROR(IF(INDEX(Items!$U$5:$U$2004,MATCH(LARGE(Items!$Z$5:$Z$2004,3),Items!$Z$5:$Z$2004,0))=0,"",INDEX(Items!$A$5:$A$2004,MATCH(LARGE(Items!$Z$5:$Z$2004,3),Items!$Z$5:$Z$2004,0))),"")</f>
        <v/>
      </c>
      <c r="K22" s="61" t="n"/>
      <c r="L22" s="62">
        <f>IF(J22="","",INDEX(Items!$U$5:$U$2004,MATCH(LARGE(Items!$Z$5:$Z$2004,3),Items!$Z$5:$Z$2004,0)))</f>
        <v/>
      </c>
      <c r="M22" s="63">
        <f>IF(J22="","",INDEX(Items!$O$5:$O$2004,MATCH(LARGE(Items!$Z$5:$Z$2004,3),Items!$Z$5:$Z$2004,0)))</f>
        <v/>
      </c>
      <c r="N22" s="61">
        <f>IF(J22="","",INDEX(Items!$R$5:$R$2004,MATCH(LARGE(Items!$Z$5:$Z$2004,3),Items!$Z$5:$Z$2004,0)))</f>
        <v/>
      </c>
    </row>
    <row r="23">
      <c r="B23" s="58">
        <f>IF(Settings!$A$21="","",Settings!$A$21)</f>
        <v/>
      </c>
      <c r="D23" s="59">
        <f>IF(B23="","",N(Settings!$B$21))</f>
        <v/>
      </c>
      <c r="E23" s="59">
        <f>IF(B23="","",SUMIFS(CashBook!$I$5:INDEX(CashBook!$I$5:$I$20004,TxRows),CashBook!$F$5:INDEX(CashBook!$F$5:$F$20004,TxRows),B23,CashBook!$A$5:INDEX(CashBook!$A$5:$A$20004,TxRows),"&lt;="&amp;DTo)+SUMIFS(Sales!$X$5:INDEX(Sales!$X$5:$X$20004,TxRows),Sales!$H$5:INDEX(Sales!$H$5:$H$20004,TxRows),B23,Sales!$A$5:INDEX(Sales!$A$5:$A$20004,TxRows),"&lt;="&amp;DTo))</f>
        <v/>
      </c>
      <c r="F23" s="59">
        <f>IF(B23="","",SUMIFS(CashBook!$J$5:INDEX(CashBook!$J$5:$J$20004,TxRows),CashBook!$F$5:INDEX(CashBook!$F$5:$F$20004,TxRows),B23,CashBook!$A$5:INDEX(CashBook!$A$5:$A$20004,TxRows),"&lt;="&amp;DTo)+SUMIFS(Purchases!$S$5:INDEX(Purchases!$S$5:$S$20004,TxRows),Purchases!$H$5:INDEX(Purchases!$H$5:$H$20004,TxRows),B23,Purchases!$A$5:INDEX(Purchases!$A$5:$A$20004,TxRows),"&lt;="&amp;DTo))</f>
        <v/>
      </c>
      <c r="G23" s="60">
        <f>IF(B23="","",D23+E23-F23)</f>
        <v/>
      </c>
      <c r="I23" s="61" t="n">
        <v>4</v>
      </c>
      <c r="J23" s="61">
        <f>IFERROR(IF(INDEX(Items!$U$5:$U$2004,MATCH(LARGE(Items!$Z$5:$Z$2004,4),Items!$Z$5:$Z$2004,0))=0,"",INDEX(Items!$A$5:$A$2004,MATCH(LARGE(Items!$Z$5:$Z$2004,4),Items!$Z$5:$Z$2004,0))),"")</f>
        <v/>
      </c>
      <c r="K23" s="61" t="n"/>
      <c r="L23" s="62">
        <f>IF(J23="","",INDEX(Items!$U$5:$U$2004,MATCH(LARGE(Items!$Z$5:$Z$2004,4),Items!$Z$5:$Z$2004,0)))</f>
        <v/>
      </c>
      <c r="M23" s="63">
        <f>IF(J23="","",INDEX(Items!$O$5:$O$2004,MATCH(LARGE(Items!$Z$5:$Z$2004,4),Items!$Z$5:$Z$2004,0)))</f>
        <v/>
      </c>
      <c r="N23" s="61">
        <f>IF(J23="","",INDEX(Items!$R$5:$R$2004,MATCH(LARGE(Items!$Z$5:$Z$2004,4),Items!$Z$5:$Z$2004,0)))</f>
        <v/>
      </c>
    </row>
    <row r="24">
      <c r="B24" s="5" t="inlineStr">
        <is>
          <t>TOTAL LIQUIDITY</t>
        </is>
      </c>
      <c r="G24" s="64">
        <f>SUM(G20:G23)</f>
        <v/>
      </c>
      <c r="I24" s="61" t="n">
        <v>5</v>
      </c>
      <c r="J24" s="61">
        <f>IFERROR(IF(INDEX(Items!$U$5:$U$2004,MATCH(LARGE(Items!$Z$5:$Z$2004,5),Items!$Z$5:$Z$2004,0))=0,"",INDEX(Items!$A$5:$A$2004,MATCH(LARGE(Items!$Z$5:$Z$2004,5),Items!$Z$5:$Z$2004,0))),"")</f>
        <v/>
      </c>
      <c r="K24" s="61" t="n"/>
      <c r="L24" s="62">
        <f>IF(J24="","",INDEX(Items!$U$5:$U$2004,MATCH(LARGE(Items!$Z$5:$Z$2004,5),Items!$Z$5:$Z$2004,0)))</f>
        <v/>
      </c>
      <c r="M24" s="63">
        <f>IF(J24="","",INDEX(Items!$O$5:$O$2004,MATCH(LARGE(Items!$Z$5:$Z$2004,5),Items!$Z$5:$Z$2004,0)))</f>
        <v/>
      </c>
      <c r="N24" s="61">
        <f>IF(J24="","",INDEX(Items!$R$5:$R$2004,MATCH(LARGE(Items!$Z$5:$Z$2004,5),Items!$Z$5:$Z$2004,0)))</f>
        <v/>
      </c>
    </row>
    <row r="25">
      <c r="I25" s="61" t="n">
        <v>6</v>
      </c>
      <c r="J25" s="61">
        <f>IFERROR(IF(INDEX(Items!$U$5:$U$2004,MATCH(LARGE(Items!$Z$5:$Z$2004,6),Items!$Z$5:$Z$2004,0))=0,"",INDEX(Items!$A$5:$A$2004,MATCH(LARGE(Items!$Z$5:$Z$2004,6),Items!$Z$5:$Z$2004,0))),"")</f>
        <v/>
      </c>
      <c r="K25" s="61" t="n"/>
      <c r="L25" s="62">
        <f>IF(J25="","",INDEX(Items!$U$5:$U$2004,MATCH(LARGE(Items!$Z$5:$Z$2004,6),Items!$Z$5:$Z$2004,0)))</f>
        <v/>
      </c>
      <c r="M25" s="63">
        <f>IF(J25="","",INDEX(Items!$O$5:$O$2004,MATCH(LARGE(Items!$Z$5:$Z$2004,6),Items!$Z$5:$Z$2004,0)))</f>
        <v/>
      </c>
      <c r="N25" s="61">
        <f>IF(J25="","",INDEX(Items!$R$5:$R$2004,MATCH(LARGE(Items!$Z$5:$Z$2004,6),Items!$Z$5:$Z$2004,0)))</f>
        <v/>
      </c>
    </row>
    <row r="26">
      <c r="I26" s="61" t="n">
        <v>7</v>
      </c>
      <c r="J26" s="61">
        <f>IFERROR(IF(INDEX(Items!$U$5:$U$2004,MATCH(LARGE(Items!$Z$5:$Z$2004,7),Items!$Z$5:$Z$2004,0))=0,"",INDEX(Items!$A$5:$A$2004,MATCH(LARGE(Items!$Z$5:$Z$2004,7),Items!$Z$5:$Z$2004,0))),"")</f>
        <v/>
      </c>
      <c r="K26" s="61" t="n"/>
      <c r="L26" s="62">
        <f>IF(J26="","",INDEX(Items!$U$5:$U$2004,MATCH(LARGE(Items!$Z$5:$Z$2004,7),Items!$Z$5:$Z$2004,0)))</f>
        <v/>
      </c>
      <c r="M26" s="63">
        <f>IF(J26="","",INDEX(Items!$O$5:$O$2004,MATCH(LARGE(Items!$Z$5:$Z$2004,7),Items!$Z$5:$Z$2004,0)))</f>
        <v/>
      </c>
      <c r="N26" s="61">
        <f>IF(J26="","",INDEX(Items!$R$5:$R$2004,MATCH(LARGE(Items!$Z$5:$Z$2004,7),Items!$Z$5:$Z$2004,0)))</f>
        <v/>
      </c>
    </row>
    <row r="27">
      <c r="I27" s="61" t="n">
        <v>8</v>
      </c>
      <c r="J27" s="61">
        <f>IFERROR(IF(INDEX(Items!$U$5:$U$2004,MATCH(LARGE(Items!$Z$5:$Z$2004,8),Items!$Z$5:$Z$2004,0))=0,"",INDEX(Items!$A$5:$A$2004,MATCH(LARGE(Items!$Z$5:$Z$2004,8),Items!$Z$5:$Z$2004,0))),"")</f>
        <v/>
      </c>
      <c r="K27" s="61" t="n"/>
      <c r="L27" s="62">
        <f>IF(J27="","",INDEX(Items!$U$5:$U$2004,MATCH(LARGE(Items!$Z$5:$Z$2004,8),Items!$Z$5:$Z$2004,0)))</f>
        <v/>
      </c>
      <c r="M27" s="63">
        <f>IF(J27="","",INDEX(Items!$O$5:$O$2004,MATCH(LARGE(Items!$Z$5:$Z$2004,8),Items!$Z$5:$Z$2004,0)))</f>
        <v/>
      </c>
      <c r="N27" s="61">
        <f>IF(J27="","",INDEX(Items!$R$5:$R$2004,MATCH(LARGE(Items!$Z$5:$Z$2004,8),Items!$Z$5:$Z$2004,0)))</f>
        <v/>
      </c>
    </row>
    <row r="28">
      <c r="I28" s="61" t="n">
        <v>9</v>
      </c>
      <c r="J28" s="61">
        <f>IFERROR(IF(INDEX(Items!$U$5:$U$2004,MATCH(LARGE(Items!$Z$5:$Z$2004,9),Items!$Z$5:$Z$2004,0))=0,"",INDEX(Items!$A$5:$A$2004,MATCH(LARGE(Items!$Z$5:$Z$2004,9),Items!$Z$5:$Z$2004,0))),"")</f>
        <v/>
      </c>
      <c r="K28" s="61" t="n"/>
      <c r="L28" s="62">
        <f>IF(J28="","",INDEX(Items!$U$5:$U$2004,MATCH(LARGE(Items!$Z$5:$Z$2004,9),Items!$Z$5:$Z$2004,0)))</f>
        <v/>
      </c>
      <c r="M28" s="63">
        <f>IF(J28="","",INDEX(Items!$O$5:$O$2004,MATCH(LARGE(Items!$Z$5:$Z$2004,9),Items!$Z$5:$Z$2004,0)))</f>
        <v/>
      </c>
      <c r="N28" s="61">
        <f>IF(J28="","",INDEX(Items!$R$5:$R$2004,MATCH(LARGE(Items!$Z$5:$Z$2004,9),Items!$Z$5:$Z$2004,0)))</f>
        <v/>
      </c>
    </row>
    <row r="29">
      <c r="I29" s="61" t="n">
        <v>10</v>
      </c>
      <c r="J29" s="61">
        <f>IFERROR(IF(INDEX(Items!$U$5:$U$2004,MATCH(LARGE(Items!$Z$5:$Z$2004,10),Items!$Z$5:$Z$2004,0))=0,"",INDEX(Items!$A$5:$A$2004,MATCH(LARGE(Items!$Z$5:$Z$2004,10),Items!$Z$5:$Z$2004,0))),"")</f>
        <v/>
      </c>
      <c r="K29" s="61" t="n"/>
      <c r="L29" s="62">
        <f>IF(J29="","",INDEX(Items!$U$5:$U$2004,MATCH(LARGE(Items!$Z$5:$Z$2004,10),Items!$Z$5:$Z$2004,0)))</f>
        <v/>
      </c>
      <c r="M29" s="63">
        <f>IF(J29="","",INDEX(Items!$O$5:$O$2004,MATCH(LARGE(Items!$Z$5:$Z$2004,10),Items!$Z$5:$Z$2004,0)))</f>
        <v/>
      </c>
      <c r="N29" s="61">
        <f>IF(J29="","",INDEX(Items!$R$5:$R$2004,MATCH(LARGE(Items!$Z$5:$Z$2004,10),Items!$Z$5:$Z$2004,0)))</f>
        <v/>
      </c>
    </row>
  </sheetData>
  <mergeCells count="44">
    <mergeCell ref="F11:G11"/>
    <mergeCell ref="J29:K29"/>
    <mergeCell ref="J14:K14"/>
    <mergeCell ref="J28:K28"/>
    <mergeCell ref="H9:I9"/>
    <mergeCell ref="B12:C12"/>
    <mergeCell ref="J9:K9"/>
    <mergeCell ref="K4:N4"/>
    <mergeCell ref="F12:G12"/>
    <mergeCell ref="J23:K23"/>
    <mergeCell ref="B11:C11"/>
    <mergeCell ref="F15:G15"/>
    <mergeCell ref="J24:K24"/>
    <mergeCell ref="D11:E11"/>
    <mergeCell ref="J15:K15"/>
    <mergeCell ref="B14:C14"/>
    <mergeCell ref="J27:K27"/>
    <mergeCell ref="B8:C8"/>
    <mergeCell ref="B3:N3"/>
    <mergeCell ref="J26:K26"/>
    <mergeCell ref="F8:G8"/>
    <mergeCell ref="H11:I11"/>
    <mergeCell ref="J11:K11"/>
    <mergeCell ref="J20:K20"/>
    <mergeCell ref="J25:K25"/>
    <mergeCell ref="B9:C9"/>
    <mergeCell ref="J22:K22"/>
    <mergeCell ref="D9:E9"/>
    <mergeCell ref="B2:N2"/>
    <mergeCell ref="H14:I14"/>
    <mergeCell ref="F9:G9"/>
    <mergeCell ref="D12:E12"/>
    <mergeCell ref="D8:E8"/>
    <mergeCell ref="H12:I12"/>
    <mergeCell ref="J21:K21"/>
    <mergeCell ref="J12:K12"/>
    <mergeCell ref="B15:C15"/>
    <mergeCell ref="B1:N1"/>
    <mergeCell ref="D15:E15"/>
    <mergeCell ref="H15:I15"/>
    <mergeCell ref="D14:E14"/>
    <mergeCell ref="F14:G14"/>
    <mergeCell ref="H8:I8"/>
    <mergeCell ref="J8:K8"/>
  </mergeCells>
  <conditionalFormatting sqref="B3">
    <cfRule type="expression" priority="1" dxfId="0">
      <formula>IsPro</formula>
    </cfRule>
    <cfRule type="expression" priority="2" dxfId="1">
      <formula>AND(NOT(IsPro),OverFreeLimit)</formula>
    </cfRule>
  </conditionalFormatting>
  <conditionalFormatting sqref="K4">
    <cfRule type="expression" priority="3" dxfId="2">
      <formula>LEFT($K$4,2)="!!"</formula>
    </cfRule>
  </conditionalFormatting>
  <conditionalFormatting sqref="N20:N29">
    <cfRule type="cellIs" priority="4" operator="equal" dxfId="3">
      <formula>"OUT OF STOCK"</formula>
    </cfRule>
    <cfRule type="cellIs" priority="5" operator="equal" dxfId="4">
      <formula>"REORDER"</formula>
    </cfRule>
    <cfRule type="cellIs" priority="6" operator="equal" dxfId="5">
      <formula>"NEGATIVE"</formula>
    </cfRule>
    <cfRule type="cellIs" priority="7" operator="equal" dxfId="6">
      <formula>"DEAD STOCK"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L6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/>
  </sheetPr>
  <dimension ref="A1:Z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10" customWidth="1" style="66" min="9" max="9"/>
    <col width="6" customWidth="1" style="70" min="10" max="10"/>
    <col width="10" customWidth="1" style="71" min="11" max="11"/>
    <col width="12" customWidth="1" style="71" min="12" max="12"/>
    <col width="7" customWidth="1" style="72" min="13" max="13"/>
    <col width="10" customWidth="1" style="71" min="14" max="14"/>
    <col width="10" customWidth="1" style="71" min="15" max="15"/>
    <col width="10" customWidth="1" style="71" min="16" max="16"/>
    <col width="12" customWidth="1" style="71" min="17" max="17"/>
    <col width="11" customWidth="1" style="71" min="18" max="18"/>
    <col width="11" customWidth="1" style="71" min="19" max="19"/>
    <col width="12" customWidth="1" style="70" min="20" max="20"/>
    <col hidden="1" width="6" customWidth="1" style="70" min="21" max="21"/>
    <col hidden="1" width="6" customWidth="1" style="70" min="22" max="22"/>
    <col hidden="1" width="6" customWidth="1" style="70" min="23" max="23"/>
    <col width="11" customWidth="1" style="71" min="24" max="24"/>
  </cols>
  <sheetData>
    <row r="1" ht="28" customHeight="1">
      <c r="A1" s="73" t="inlineStr">
        <is>
          <t>SALES / INVOICES (DELIVER)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Z1" s="74" t="inlineStr">
        <is>
          <t>« Home</t>
        </is>
      </c>
    </row>
    <row r="2">
      <c r="A2" s="3" t="inlineStr">
        <is>
          <t>One line per item sold. Keep all lines of an invoice together. Leave Rate blank to use the standard sale rate.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{=_xll.ST_SALES(...)} fills J:X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</row>
    <row r="4" ht="32" customHeight="1">
      <c r="A4" s="78" t="inlineStr">
        <is>
          <t>Date *</t>
        </is>
      </c>
      <c r="B4" s="78" t="inlineStr">
        <is>
          <t>Invoice No *</t>
        </is>
      </c>
      <c r="C4" s="78" t="inlineStr">
        <is>
          <t>Customer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8" t="inlineStr">
        <is>
          <t>Delivery</t>
        </is>
      </c>
      <c r="J4" s="79" t="inlineStr">
        <is>
          <t>Unit</t>
        </is>
      </c>
      <c r="K4" s="79" t="inlineStr">
        <is>
          <t>Rate Used (₹)</t>
        </is>
      </c>
      <c r="L4" s="79" t="inlineStr">
        <is>
          <t>Taxable (₹)</t>
        </is>
      </c>
      <c r="M4" s="79" t="inlineStr">
        <is>
          <t>GST %</t>
        </is>
      </c>
      <c r="N4" s="79" t="inlineStr">
        <is>
          <t>CGST (₹)</t>
        </is>
      </c>
      <c r="O4" s="79" t="inlineStr">
        <is>
          <t>SGST (₹)</t>
        </is>
      </c>
      <c r="P4" s="79" t="inlineStr">
        <is>
          <t>IGST (₹)</t>
        </is>
      </c>
      <c r="Q4" s="79" t="inlineStr">
        <is>
          <t>Line Total (₹)</t>
        </is>
      </c>
      <c r="R4" s="79" t="inlineStr">
        <is>
          <t>COGS (₹)</t>
        </is>
      </c>
      <c r="S4" s="79" t="inlineStr">
        <is>
          <t>Profit (₹)</t>
        </is>
      </c>
      <c r="T4" s="79" t="inlineStr">
        <is>
          <t>Stock Check</t>
        </is>
      </c>
      <c r="U4" s="79" t="inlineStr">
        <is>
          <t>itemRow</t>
        </is>
      </c>
      <c r="V4" s="79" t="inlineStr">
        <is>
          <t>partyRow</t>
        </is>
      </c>
      <c r="W4" s="79" t="inlineStr">
        <is>
          <t>invNum</t>
        </is>
      </c>
      <c r="X4" s="79" t="inlineStr">
        <is>
          <t>Paid Now (₹)</t>
        </is>
      </c>
    </row>
    <row r="5">
      <c r="A5" s="65" t="n">
        <v>46114</v>
      </c>
      <c r="B5" s="66" t="inlineStr">
        <is>
          <t>INV-0001</t>
        </is>
      </c>
      <c r="C5" s="66" t="inlineStr">
        <is>
          <t>Sharma Kirana Store</t>
        </is>
      </c>
      <c r="D5" s="66" t="inlineStr">
        <is>
          <t>Basmati Rice 25kg</t>
        </is>
      </c>
      <c r="E5" s="67" t="n">
        <v>3</v>
      </c>
      <c r="G5" s="69" t="n">
        <v>0.02</v>
      </c>
      <c r="H5" s="66" t="inlineStr">
        <is>
          <t>Bank</t>
        </is>
      </c>
      <c r="I5" s="66" t="inlineStr">
        <is>
          <t>Delivered</t>
        </is>
      </c>
      <c r="J5" s="70">
        <f t="array" ref="J5:X20004">_xll.ST_SALES(IN_Items,IN_Parties,IN_Purchases,IN_Sales,IN_CashBook,IN_Adjust,IN_Settings)</f>
        <v/>
      </c>
    </row>
    <row r="6">
      <c r="A6" s="65" t="n">
        <v>46116</v>
      </c>
      <c r="B6" s="66" t="inlineStr">
        <is>
          <t>INV-0002</t>
        </is>
      </c>
      <c r="C6" s="66" t="inlineStr">
        <is>
          <t>Gupta Electricals</t>
        </is>
      </c>
      <c r="D6" s="66" t="inlineStr">
        <is>
          <t>Basmati Rice 25kg</t>
        </is>
      </c>
      <c r="E6" s="67" t="n">
        <v>8</v>
      </c>
      <c r="H6" s="66" t="inlineStr">
        <is>
          <t>Bank</t>
        </is>
      </c>
      <c r="I6" s="66" t="inlineStr">
        <is>
          <t>Delivered</t>
        </is>
      </c>
    </row>
    <row r="7">
      <c r="A7" s="65" t="n">
        <v>46119</v>
      </c>
      <c r="B7" s="66" t="inlineStr">
        <is>
          <t>INV-0003</t>
        </is>
      </c>
      <c r="C7" s="66" t="inlineStr">
        <is>
          <t>Sharma Kirana Store</t>
        </is>
      </c>
      <c r="D7" s="66" t="inlineStr">
        <is>
          <t>PVC Pipe 1in 6m</t>
        </is>
      </c>
      <c r="E7" s="67" t="n">
        <v>32</v>
      </c>
      <c r="I7" s="66" t="inlineStr">
        <is>
          <t>Delivered</t>
        </is>
      </c>
    </row>
    <row r="8">
      <c r="A8" s="65" t="n">
        <v>46120</v>
      </c>
      <c r="B8" s="66" t="inlineStr">
        <is>
          <t>INV-0004</t>
        </is>
      </c>
      <c r="C8" s="66" t="inlineStr">
        <is>
          <t>Delhi Hardware Mart</t>
        </is>
      </c>
      <c r="D8" s="66" t="inlineStr">
        <is>
          <t>Cement 50kg</t>
        </is>
      </c>
      <c r="E8" s="67" t="n">
        <v>25</v>
      </c>
      <c r="H8" s="66" t="inlineStr">
        <is>
          <t>Bank</t>
        </is>
      </c>
      <c r="I8" s="66" t="inlineStr">
        <is>
          <t>Delivered</t>
        </is>
      </c>
    </row>
    <row r="9">
      <c r="A9" s="65" t="n">
        <v>46122</v>
      </c>
      <c r="B9" s="66" t="inlineStr">
        <is>
          <t>INV-0005</t>
        </is>
      </c>
      <c r="C9" s="66" t="inlineStr">
        <is>
          <t>FMCG Distributors</t>
        </is>
      </c>
      <c r="D9" s="66" t="inlineStr">
        <is>
          <t>Ceiling Fan 1200mm</t>
        </is>
      </c>
      <c r="E9" s="67" t="n">
        <v>3</v>
      </c>
      <c r="G9" s="69" t="n">
        <v>0.05</v>
      </c>
      <c r="I9" s="66" t="inlineStr">
        <is>
          <t>Delivered</t>
        </is>
      </c>
    </row>
    <row r="10">
      <c r="A10" s="65" t="n">
        <v>46122</v>
      </c>
      <c r="B10" s="66" t="inlineStr">
        <is>
          <t>INV-0005</t>
        </is>
      </c>
      <c r="C10" s="66" t="inlineStr">
        <is>
          <t>FMCG Distributors</t>
        </is>
      </c>
      <c r="D10" s="66" t="inlineStr">
        <is>
          <t>Sugar 50kg</t>
        </is>
      </c>
      <c r="E10" s="67" t="n">
        <v>3</v>
      </c>
      <c r="G10" s="69" t="n">
        <v>0.05</v>
      </c>
      <c r="I10" s="66" t="inlineStr">
        <is>
          <t>Delivered</t>
        </is>
      </c>
    </row>
    <row r="11">
      <c r="A11" s="65" t="n">
        <v>46123</v>
      </c>
      <c r="B11" s="66" t="inlineStr">
        <is>
          <t>INV-0006</t>
        </is>
      </c>
      <c r="C11" s="66" t="inlineStr">
        <is>
          <t>Mehta Constructions</t>
        </is>
      </c>
      <c r="D11" s="66" t="inlineStr">
        <is>
          <t>Sugar 50kg</t>
        </is>
      </c>
      <c r="E11" s="67" t="n">
        <v>5</v>
      </c>
      <c r="H11" s="66" t="inlineStr">
        <is>
          <t>Bank</t>
        </is>
      </c>
      <c r="I11" s="66" t="inlineStr">
        <is>
          <t>Delivered</t>
        </is>
      </c>
    </row>
    <row r="12">
      <c r="A12" s="65" t="n">
        <v>46125</v>
      </c>
      <c r="B12" s="66" t="inlineStr">
        <is>
          <t>INV-0007</t>
        </is>
      </c>
      <c r="C12" s="66" t="inlineStr">
        <is>
          <t>Delhi Hardware Mart</t>
        </is>
      </c>
      <c r="D12" s="66" t="inlineStr">
        <is>
          <t>Basmati Rice 25kg</t>
        </is>
      </c>
      <c r="E12" s="67" t="n">
        <v>8</v>
      </c>
      <c r="H12" s="66" t="inlineStr">
        <is>
          <t>UPI</t>
        </is>
      </c>
      <c r="I12" s="66" t="inlineStr">
        <is>
          <t>Delivered</t>
        </is>
      </c>
    </row>
    <row r="13">
      <c r="A13" s="65" t="n">
        <v>46126</v>
      </c>
      <c r="B13" s="66" t="inlineStr">
        <is>
          <t>INV-0008</t>
        </is>
      </c>
      <c r="C13" s="66" t="inlineStr">
        <is>
          <t>FMCG Distributors</t>
        </is>
      </c>
      <c r="D13" s="66" t="inlineStr">
        <is>
          <t>Copper Wire 90m</t>
        </is>
      </c>
      <c r="E13" s="67" t="n">
        <v>3</v>
      </c>
      <c r="I13" s="66" t="inlineStr">
        <is>
          <t>Delivered</t>
        </is>
      </c>
    </row>
    <row r="14">
      <c r="A14" s="65" t="n">
        <v>46126</v>
      </c>
      <c r="B14" s="66" t="inlineStr">
        <is>
          <t>INV-0008</t>
        </is>
      </c>
      <c r="C14" s="66" t="inlineStr">
        <is>
          <t>FMCG Distributors</t>
        </is>
      </c>
      <c r="D14" s="66" t="inlineStr">
        <is>
          <t>Cement 50kg</t>
        </is>
      </c>
      <c r="E14" s="67" t="n">
        <v>40</v>
      </c>
      <c r="I14" s="66" t="inlineStr">
        <is>
          <t>Delivered</t>
        </is>
      </c>
    </row>
    <row r="15">
      <c r="A15" s="65" t="n">
        <v>46127</v>
      </c>
      <c r="B15" s="66" t="inlineStr">
        <is>
          <t>INV-0009</t>
        </is>
      </c>
      <c r="C15" s="66" t="inlineStr">
        <is>
          <t>Gupta Electricals</t>
        </is>
      </c>
      <c r="D15" s="66" t="inlineStr">
        <is>
          <t>Ceiling Fan 1200mm</t>
        </is>
      </c>
      <c r="E15" s="67" t="n">
        <v>3</v>
      </c>
      <c r="G15" s="69" t="n">
        <v>0.02</v>
      </c>
      <c r="I15" s="66" t="inlineStr">
        <is>
          <t>Delivered</t>
        </is>
      </c>
    </row>
    <row r="16">
      <c r="A16" s="65" t="n">
        <v>46127</v>
      </c>
      <c r="B16" s="66" t="inlineStr">
        <is>
          <t>INV-0009</t>
        </is>
      </c>
      <c r="C16" s="66" t="inlineStr">
        <is>
          <t>Gupta Electricals</t>
        </is>
      </c>
      <c r="D16" s="66" t="inlineStr">
        <is>
          <t>Detergent 5kg</t>
        </is>
      </c>
      <c r="E16" s="67" t="n">
        <v>7</v>
      </c>
      <c r="G16" s="69" t="n">
        <v>0.02</v>
      </c>
      <c r="I16" s="66" t="inlineStr">
        <is>
          <t>Delivered</t>
        </is>
      </c>
    </row>
    <row r="17">
      <c r="A17" s="65" t="n">
        <v>46128</v>
      </c>
      <c r="B17" s="66" t="inlineStr">
        <is>
          <t>INV-0010</t>
        </is>
      </c>
      <c r="C17" s="66" t="inlineStr">
        <is>
          <t>Sharma Kirana Store</t>
        </is>
      </c>
      <c r="D17" s="66" t="inlineStr">
        <is>
          <t>Refined Oil 15L</t>
        </is>
      </c>
      <c r="E17" s="67" t="n">
        <v>6</v>
      </c>
      <c r="G17" s="69" t="n">
        <v>0.02</v>
      </c>
      <c r="H17" s="66" t="inlineStr">
        <is>
          <t>UPI</t>
        </is>
      </c>
      <c r="I17" s="66" t="inlineStr">
        <is>
          <t>Delivered</t>
        </is>
      </c>
    </row>
    <row r="18">
      <c r="A18" s="65" t="n">
        <v>46130</v>
      </c>
      <c r="B18" s="66" t="inlineStr">
        <is>
          <t>INV-0011</t>
        </is>
      </c>
      <c r="C18" s="66" t="inlineStr">
        <is>
          <t>Mehta Constructions</t>
        </is>
      </c>
      <c r="D18" s="66" t="inlineStr">
        <is>
          <t>Tea Premium 1kg</t>
        </is>
      </c>
      <c r="E18" s="67" t="n">
        <v>11</v>
      </c>
      <c r="G18" s="69" t="n">
        <v>0.02</v>
      </c>
      <c r="I18" s="66" t="inlineStr">
        <is>
          <t>Delivered</t>
        </is>
      </c>
    </row>
    <row r="19">
      <c r="A19" s="65" t="n">
        <v>46130</v>
      </c>
      <c r="B19" s="66" t="inlineStr">
        <is>
          <t>INV-0011</t>
        </is>
      </c>
      <c r="C19" s="66" t="inlineStr">
        <is>
          <t>Mehta Constructions</t>
        </is>
      </c>
      <c r="D19" s="66" t="inlineStr">
        <is>
          <t>LED Bulb 9W</t>
        </is>
      </c>
      <c r="E19" s="67" t="n">
        <v>39</v>
      </c>
      <c r="G19" s="69" t="n">
        <v>0.02</v>
      </c>
      <c r="I19" s="66" t="inlineStr">
        <is>
          <t>Delivered</t>
        </is>
      </c>
    </row>
    <row r="20">
      <c r="A20" s="65" t="n">
        <v>46132</v>
      </c>
      <c r="B20" s="66" t="inlineStr">
        <is>
          <t>INV-0012</t>
        </is>
      </c>
      <c r="C20" s="66" t="inlineStr">
        <is>
          <t>Mehta Constructions</t>
        </is>
      </c>
      <c r="D20" s="66" t="inlineStr">
        <is>
          <t>PVC Pipe 1in 6m</t>
        </is>
      </c>
      <c r="E20" s="67" t="n">
        <v>20</v>
      </c>
      <c r="G20" s="69" t="n">
        <v>0.02</v>
      </c>
      <c r="I20" s="66" t="inlineStr">
        <is>
          <t>Delivered</t>
        </is>
      </c>
    </row>
    <row r="21">
      <c r="A21" s="65" t="n">
        <v>46133</v>
      </c>
      <c r="B21" s="66" t="inlineStr">
        <is>
          <t>INV-0013</t>
        </is>
      </c>
      <c r="C21" s="66" t="inlineStr">
        <is>
          <t>Walk-in Customer</t>
        </is>
      </c>
      <c r="D21" s="66" t="inlineStr">
        <is>
          <t>Refined Oil 15L</t>
        </is>
      </c>
      <c r="E21" s="67" t="n">
        <v>3</v>
      </c>
      <c r="H21" s="66" t="inlineStr">
        <is>
          <t>Cash</t>
        </is>
      </c>
      <c r="I21" s="66" t="inlineStr">
        <is>
          <t>Delivered</t>
        </is>
      </c>
    </row>
    <row r="22">
      <c r="A22" s="65" t="n">
        <v>46134</v>
      </c>
      <c r="B22" s="66" t="inlineStr">
        <is>
          <t>INV-0014</t>
        </is>
      </c>
      <c r="C22" s="66" t="inlineStr">
        <is>
          <t>Walk-in Customer</t>
        </is>
      </c>
      <c r="D22" s="66" t="inlineStr">
        <is>
          <t>Copper Wire 90m</t>
        </is>
      </c>
      <c r="E22" s="67" t="n">
        <v>4</v>
      </c>
      <c r="H22" s="66" t="inlineStr">
        <is>
          <t>Cash</t>
        </is>
      </c>
      <c r="I22" s="66" t="inlineStr">
        <is>
          <t>Delivered</t>
        </is>
      </c>
    </row>
    <row r="23">
      <c r="A23" s="65" t="n">
        <v>46135</v>
      </c>
      <c r="B23" s="66" t="inlineStr">
        <is>
          <t>INV-0015</t>
        </is>
      </c>
      <c r="C23" s="66" t="inlineStr">
        <is>
          <t>Mehta Constructions</t>
        </is>
      </c>
      <c r="D23" s="66" t="inlineStr">
        <is>
          <t>LED Bulb 9W</t>
        </is>
      </c>
      <c r="E23" s="67" t="n">
        <v>64</v>
      </c>
      <c r="G23" s="69" t="n">
        <v>0.05</v>
      </c>
      <c r="I23" s="66" t="inlineStr">
        <is>
          <t>Delivered</t>
        </is>
      </c>
    </row>
    <row r="24">
      <c r="A24" s="65" t="n">
        <v>46136</v>
      </c>
      <c r="B24" s="66" t="inlineStr">
        <is>
          <t>INV-0016</t>
        </is>
      </c>
      <c r="C24" s="66" t="inlineStr">
        <is>
          <t>Delhi Hardware Mart</t>
        </is>
      </c>
      <c r="D24" s="66" t="inlineStr">
        <is>
          <t>A4 Paper Ream</t>
        </is>
      </c>
      <c r="E24" s="67" t="n">
        <v>22</v>
      </c>
      <c r="G24" s="69" t="n">
        <v>0.02</v>
      </c>
      <c r="H24" s="66" t="inlineStr">
        <is>
          <t>Bank</t>
        </is>
      </c>
      <c r="I24" s="66" t="inlineStr">
        <is>
          <t>Delivered</t>
        </is>
      </c>
    </row>
    <row r="25">
      <c r="A25" s="65" t="n">
        <v>46136</v>
      </c>
      <c r="B25" s="66" t="inlineStr">
        <is>
          <t>INV-0016</t>
        </is>
      </c>
      <c r="C25" s="66" t="inlineStr">
        <is>
          <t>Delhi Hardware Mart</t>
        </is>
      </c>
      <c r="D25" s="66" t="inlineStr">
        <is>
          <t>Ceiling Fan 1200mm</t>
        </is>
      </c>
      <c r="E25" s="67" t="n">
        <v>4</v>
      </c>
      <c r="G25" s="69" t="n">
        <v>0.05</v>
      </c>
      <c r="H25" s="66" t="inlineStr">
        <is>
          <t>Bank</t>
        </is>
      </c>
      <c r="I25" s="66" t="inlineStr">
        <is>
          <t>Delivered</t>
        </is>
      </c>
    </row>
    <row r="26">
      <c r="A26" s="65" t="n">
        <v>46137</v>
      </c>
      <c r="B26" s="66" t="inlineStr">
        <is>
          <t>INV-0017</t>
        </is>
      </c>
      <c r="C26" s="66" t="inlineStr">
        <is>
          <t>Walk-in Customer</t>
        </is>
      </c>
      <c r="D26" s="66" t="inlineStr">
        <is>
          <t>LED Bulb 9W</t>
        </is>
      </c>
      <c r="E26" s="67" t="n">
        <v>40</v>
      </c>
      <c r="G26" s="69" t="n">
        <v>0.02</v>
      </c>
      <c r="H26" s="66" t="inlineStr">
        <is>
          <t>Cash</t>
        </is>
      </c>
      <c r="I26" s="66" t="inlineStr">
        <is>
          <t>Delivered</t>
        </is>
      </c>
    </row>
    <row r="27">
      <c r="A27" s="65" t="n">
        <v>46140</v>
      </c>
      <c r="B27" s="66" t="inlineStr">
        <is>
          <t>INV-0018</t>
        </is>
      </c>
      <c r="C27" s="66" t="inlineStr">
        <is>
          <t>Gupta Electricals</t>
        </is>
      </c>
      <c r="D27" s="66" t="inlineStr">
        <is>
          <t>Refined Oil 15L</t>
        </is>
      </c>
      <c r="E27" s="67" t="n">
        <v>4</v>
      </c>
      <c r="G27" s="69" t="n">
        <v>0.05</v>
      </c>
      <c r="I27" s="66" t="inlineStr">
        <is>
          <t>Delivered</t>
        </is>
      </c>
    </row>
    <row r="28">
      <c r="A28" s="65" t="n">
        <v>46143</v>
      </c>
      <c r="B28" s="66" t="inlineStr">
        <is>
          <t>INV-0019</t>
        </is>
      </c>
      <c r="C28" s="66" t="inlineStr">
        <is>
          <t>Gupta Electricals</t>
        </is>
      </c>
      <c r="D28" s="66" t="inlineStr">
        <is>
          <t>Copper Wire 90m</t>
        </is>
      </c>
      <c r="E28" s="67" t="n">
        <v>3</v>
      </c>
      <c r="I28" s="66" t="inlineStr">
        <is>
          <t>Delivered</t>
        </is>
      </c>
    </row>
    <row r="29">
      <c r="A29" s="65" t="n">
        <v>46146</v>
      </c>
      <c r="B29" s="66" t="inlineStr">
        <is>
          <t>INV-0020</t>
        </is>
      </c>
      <c r="C29" s="66" t="inlineStr">
        <is>
          <t>Gupta Electricals</t>
        </is>
      </c>
      <c r="D29" s="66" t="inlineStr">
        <is>
          <t>Detergent 5kg</t>
        </is>
      </c>
      <c r="E29" s="67" t="n">
        <v>12</v>
      </c>
      <c r="I29" s="66" t="inlineStr">
        <is>
          <t>Delivered</t>
        </is>
      </c>
    </row>
    <row r="30">
      <c r="A30" s="65" t="n">
        <v>46146</v>
      </c>
      <c r="B30" s="66" t="inlineStr">
        <is>
          <t>INV-0020</t>
        </is>
      </c>
      <c r="C30" s="66" t="inlineStr">
        <is>
          <t>Gupta Electricals</t>
        </is>
      </c>
      <c r="D30" s="66" t="inlineStr">
        <is>
          <t>Copper Wire 90m</t>
        </is>
      </c>
      <c r="E30" s="67" t="n">
        <v>3</v>
      </c>
      <c r="I30" s="66" t="inlineStr">
        <is>
          <t>Delivered</t>
        </is>
      </c>
    </row>
    <row r="31">
      <c r="A31" s="65" t="n">
        <v>46147</v>
      </c>
      <c r="B31" s="66" t="inlineStr">
        <is>
          <t>INV-0021</t>
        </is>
      </c>
      <c r="C31" s="66" t="inlineStr">
        <is>
          <t>Delhi Hardware Mart</t>
        </is>
      </c>
      <c r="D31" s="66" t="inlineStr">
        <is>
          <t>PVC Pipe 1in 6m</t>
        </is>
      </c>
      <c r="E31" s="67" t="n">
        <v>20</v>
      </c>
      <c r="H31" s="66" t="inlineStr">
        <is>
          <t>Bank</t>
        </is>
      </c>
      <c r="I31" s="66" t="inlineStr">
        <is>
          <t>Delivered</t>
        </is>
      </c>
    </row>
    <row r="32">
      <c r="A32" s="65" t="n">
        <v>46148</v>
      </c>
      <c r="B32" s="66" t="inlineStr">
        <is>
          <t>INV-0022</t>
        </is>
      </c>
      <c r="C32" s="66" t="inlineStr">
        <is>
          <t>Delhi Hardware Mart</t>
        </is>
      </c>
      <c r="D32" s="66" t="inlineStr">
        <is>
          <t>PVC Pipe 1in 6m</t>
        </is>
      </c>
      <c r="E32" s="67" t="n">
        <v>25</v>
      </c>
      <c r="G32" s="69" t="n">
        <v>0.05</v>
      </c>
      <c r="I32" s="66" t="inlineStr">
        <is>
          <t>Delivered</t>
        </is>
      </c>
    </row>
    <row r="33">
      <c r="A33" s="65" t="n">
        <v>46149</v>
      </c>
      <c r="B33" s="66" t="inlineStr">
        <is>
          <t>INV-0023</t>
        </is>
      </c>
      <c r="C33" s="66" t="inlineStr">
        <is>
          <t>Walk-in Customer</t>
        </is>
      </c>
      <c r="D33" s="66" t="inlineStr">
        <is>
          <t>Tea Premium 1kg</t>
        </is>
      </c>
      <c r="E33" s="67" t="n">
        <v>16</v>
      </c>
      <c r="H33" s="66" t="inlineStr">
        <is>
          <t>Cash</t>
        </is>
      </c>
      <c r="I33" s="66" t="inlineStr">
        <is>
          <t>Delivered</t>
        </is>
      </c>
    </row>
    <row r="34">
      <c r="A34" s="65" t="n">
        <v>46149</v>
      </c>
      <c r="B34" s="66" t="inlineStr">
        <is>
          <t>INV-0023</t>
        </is>
      </c>
      <c r="C34" s="66" t="inlineStr">
        <is>
          <t>Walk-in Customer</t>
        </is>
      </c>
      <c r="D34" s="66" t="inlineStr">
        <is>
          <t>Ceiling Fan 1200mm</t>
        </is>
      </c>
      <c r="E34" s="67" t="n">
        <v>2</v>
      </c>
      <c r="G34" s="69" t="n">
        <v>0.02</v>
      </c>
      <c r="H34" s="66" t="inlineStr">
        <is>
          <t>Cash</t>
        </is>
      </c>
      <c r="I34" s="66" t="inlineStr">
        <is>
          <t>Delivered</t>
        </is>
      </c>
    </row>
    <row r="35">
      <c r="A35" s="65" t="n">
        <v>46150</v>
      </c>
      <c r="B35" s="66" t="inlineStr">
        <is>
          <t>INV-0024</t>
        </is>
      </c>
      <c r="C35" s="66" t="inlineStr">
        <is>
          <t>Sharma Kirana Store</t>
        </is>
      </c>
      <c r="D35" s="66" t="inlineStr">
        <is>
          <t>Copper Wire 90m</t>
        </is>
      </c>
      <c r="E35" s="67" t="n">
        <v>2</v>
      </c>
      <c r="G35" s="69" t="n">
        <v>0.05</v>
      </c>
      <c r="I35" s="66" t="inlineStr">
        <is>
          <t>Delivered</t>
        </is>
      </c>
    </row>
    <row r="36">
      <c r="A36" s="65" t="n">
        <v>46151</v>
      </c>
      <c r="B36" s="66" t="inlineStr">
        <is>
          <t>INV-0025</t>
        </is>
      </c>
      <c r="C36" s="66" t="inlineStr">
        <is>
          <t>Walk-in Customer</t>
        </is>
      </c>
      <c r="D36" s="66" t="inlineStr">
        <is>
          <t>Toothpaste 150g x12</t>
        </is>
      </c>
      <c r="E36" s="67" t="n">
        <v>3</v>
      </c>
      <c r="H36" s="66" t="inlineStr">
        <is>
          <t>Cash</t>
        </is>
      </c>
      <c r="I36" s="66" t="inlineStr">
        <is>
          <t>Delivered</t>
        </is>
      </c>
    </row>
    <row r="37">
      <c r="A37" s="65" t="n">
        <v>46151</v>
      </c>
      <c r="B37" s="66" t="inlineStr">
        <is>
          <t>INV-0025</t>
        </is>
      </c>
      <c r="C37" s="66" t="inlineStr">
        <is>
          <t>Walk-in Customer</t>
        </is>
      </c>
      <c r="D37" s="66" t="inlineStr">
        <is>
          <t>Ceiling Fan 1200mm</t>
        </is>
      </c>
      <c r="E37" s="67" t="n">
        <v>2</v>
      </c>
      <c r="H37" s="66" t="inlineStr">
        <is>
          <t>Cash</t>
        </is>
      </c>
      <c r="I37" s="66" t="inlineStr">
        <is>
          <t>Delivered</t>
        </is>
      </c>
    </row>
    <row r="38">
      <c r="A38" s="65" t="n">
        <v>46153</v>
      </c>
      <c r="B38" s="66" t="inlineStr">
        <is>
          <t>INV-0026</t>
        </is>
      </c>
      <c r="C38" s="66" t="inlineStr">
        <is>
          <t>Gupta Electricals</t>
        </is>
      </c>
      <c r="D38" s="66" t="inlineStr">
        <is>
          <t>LED Bulb 9W</t>
        </is>
      </c>
      <c r="E38" s="67" t="n">
        <v>75</v>
      </c>
      <c r="H38" s="66" t="inlineStr">
        <is>
          <t>UPI</t>
        </is>
      </c>
      <c r="I38" s="66" t="inlineStr">
        <is>
          <t>Delivered</t>
        </is>
      </c>
    </row>
    <row r="39">
      <c r="A39" s="65" t="n">
        <v>46154</v>
      </c>
      <c r="B39" s="66" t="inlineStr">
        <is>
          <t>INV-0027</t>
        </is>
      </c>
      <c r="C39" s="66" t="inlineStr">
        <is>
          <t>Delhi Hardware Mart</t>
        </is>
      </c>
      <c r="D39" s="66" t="inlineStr">
        <is>
          <t>Refined Oil 15L</t>
        </is>
      </c>
      <c r="E39" s="67" t="n">
        <v>6</v>
      </c>
      <c r="G39" s="69" t="n">
        <v>0.02</v>
      </c>
      <c r="I39" s="66" t="inlineStr">
        <is>
          <t>Delivered</t>
        </is>
      </c>
    </row>
    <row r="40">
      <c r="A40" s="65" t="n">
        <v>46155</v>
      </c>
      <c r="B40" s="66" t="inlineStr">
        <is>
          <t>INV-0028</t>
        </is>
      </c>
      <c r="C40" s="66" t="inlineStr">
        <is>
          <t>Walk-in Customer</t>
        </is>
      </c>
      <c r="D40" s="66" t="inlineStr">
        <is>
          <t>Toothpaste 150g x12</t>
        </is>
      </c>
      <c r="E40" s="67" t="n">
        <v>6</v>
      </c>
      <c r="H40" s="66" t="inlineStr">
        <is>
          <t>Cash</t>
        </is>
      </c>
      <c r="I40" s="66" t="inlineStr">
        <is>
          <t>Delivered</t>
        </is>
      </c>
    </row>
    <row r="41">
      <c r="A41" s="65" t="n">
        <v>46155</v>
      </c>
      <c r="B41" s="66" t="inlineStr">
        <is>
          <t>INV-0028</t>
        </is>
      </c>
      <c r="C41" s="66" t="inlineStr">
        <is>
          <t>Walk-in Customer</t>
        </is>
      </c>
      <c r="D41" s="66" t="inlineStr">
        <is>
          <t>Refined Oil 15L</t>
        </is>
      </c>
      <c r="E41" s="67" t="n">
        <v>3</v>
      </c>
      <c r="H41" s="66" t="inlineStr">
        <is>
          <t>Cash</t>
        </is>
      </c>
      <c r="I41" s="66" t="inlineStr">
        <is>
          <t>Delivered</t>
        </is>
      </c>
    </row>
    <row r="42">
      <c r="A42" s="65" t="n">
        <v>46156</v>
      </c>
      <c r="B42" s="66" t="inlineStr">
        <is>
          <t>INV-0029</t>
        </is>
      </c>
      <c r="C42" s="66" t="inlineStr">
        <is>
          <t>Walk-in Customer</t>
        </is>
      </c>
      <c r="D42" s="66" t="inlineStr">
        <is>
          <t>Tea Premium 1kg</t>
        </is>
      </c>
      <c r="E42" s="67" t="n">
        <v>7</v>
      </c>
      <c r="H42" s="66" t="inlineStr">
        <is>
          <t>Cash</t>
        </is>
      </c>
      <c r="I42" s="66" t="inlineStr">
        <is>
          <t>Delivered</t>
        </is>
      </c>
    </row>
    <row r="43">
      <c r="A43" s="65" t="n">
        <v>46157</v>
      </c>
      <c r="B43" s="66" t="inlineStr">
        <is>
          <t>INV-0030</t>
        </is>
      </c>
      <c r="C43" s="66" t="inlineStr">
        <is>
          <t>Walk-in Customer</t>
        </is>
      </c>
      <c r="D43" s="66" t="inlineStr">
        <is>
          <t>Toothpaste 150g x12</t>
        </is>
      </c>
      <c r="E43" s="67" t="n">
        <v>6</v>
      </c>
      <c r="H43" s="66" t="inlineStr">
        <is>
          <t>Cash</t>
        </is>
      </c>
      <c r="I43" s="66" t="inlineStr">
        <is>
          <t>Delivered</t>
        </is>
      </c>
    </row>
    <row r="44">
      <c r="A44" s="65" t="n">
        <v>46157</v>
      </c>
      <c r="B44" s="66" t="inlineStr">
        <is>
          <t>INV-0030</t>
        </is>
      </c>
      <c r="C44" s="66" t="inlineStr">
        <is>
          <t>Walk-in Customer</t>
        </is>
      </c>
      <c r="D44" s="66" t="inlineStr">
        <is>
          <t>Detergent 5kg</t>
        </is>
      </c>
      <c r="E44" s="67" t="n">
        <v>5</v>
      </c>
      <c r="H44" s="66" t="inlineStr">
        <is>
          <t>Cash</t>
        </is>
      </c>
      <c r="I44" s="66" t="inlineStr">
        <is>
          <t>Delivered</t>
        </is>
      </c>
    </row>
    <row r="45">
      <c r="A45" s="65" t="n">
        <v>46158</v>
      </c>
      <c r="B45" s="66" t="inlineStr">
        <is>
          <t>INV-0031</t>
        </is>
      </c>
      <c r="C45" s="66" t="inlineStr">
        <is>
          <t>Walk-in Customer</t>
        </is>
      </c>
      <c r="D45" s="66" t="inlineStr">
        <is>
          <t>Refined Oil 15L</t>
        </is>
      </c>
      <c r="E45" s="67" t="n">
        <v>4</v>
      </c>
      <c r="G45" s="69" t="n">
        <v>0.05</v>
      </c>
      <c r="H45" s="66" t="inlineStr">
        <is>
          <t>Cash</t>
        </is>
      </c>
      <c r="I45" s="66" t="inlineStr">
        <is>
          <t>Delivered</t>
        </is>
      </c>
    </row>
    <row r="46">
      <c r="A46" s="65" t="n">
        <v>46158</v>
      </c>
      <c r="B46" s="66" t="inlineStr">
        <is>
          <t>INV-0031</t>
        </is>
      </c>
      <c r="C46" s="66" t="inlineStr">
        <is>
          <t>Walk-in Customer</t>
        </is>
      </c>
      <c r="D46" s="66" t="inlineStr">
        <is>
          <t>PVC Pipe 1in 6m</t>
        </is>
      </c>
      <c r="E46" s="67" t="n">
        <v>14</v>
      </c>
      <c r="G46" s="69" t="n">
        <v>0.02</v>
      </c>
      <c r="H46" s="66" t="inlineStr">
        <is>
          <t>Cash</t>
        </is>
      </c>
      <c r="I46" s="66" t="inlineStr">
        <is>
          <t>Delivered</t>
        </is>
      </c>
    </row>
    <row r="47">
      <c r="A47" s="65" t="n">
        <v>46160</v>
      </c>
      <c r="B47" s="66" t="inlineStr">
        <is>
          <t>INV-0032</t>
        </is>
      </c>
      <c r="C47" s="66" t="inlineStr">
        <is>
          <t>Sharma Kirana Store</t>
        </is>
      </c>
      <c r="D47" s="66" t="inlineStr">
        <is>
          <t>Refined Oil 15L</t>
        </is>
      </c>
      <c r="E47" s="67" t="n">
        <v>6</v>
      </c>
      <c r="I47" s="66" t="inlineStr">
        <is>
          <t>Delivered</t>
        </is>
      </c>
    </row>
    <row r="48">
      <c r="A48" s="65" t="n">
        <v>46162</v>
      </c>
      <c r="B48" s="66" t="inlineStr">
        <is>
          <t>INV-0033</t>
        </is>
      </c>
      <c r="C48" s="66" t="inlineStr">
        <is>
          <t>Walk-in Customer</t>
        </is>
      </c>
      <c r="D48" s="66" t="inlineStr">
        <is>
          <t>PVC Pipe 1in 6m</t>
        </is>
      </c>
      <c r="E48" s="67" t="n">
        <v>15</v>
      </c>
      <c r="H48" s="66" t="inlineStr">
        <is>
          <t>Cash</t>
        </is>
      </c>
      <c r="I48" s="66" t="inlineStr">
        <is>
          <t>Delivered</t>
        </is>
      </c>
    </row>
    <row r="49">
      <c r="A49" s="65" t="n">
        <v>46163</v>
      </c>
      <c r="B49" s="66" t="inlineStr">
        <is>
          <t>INV-0034</t>
        </is>
      </c>
      <c r="C49" s="66" t="inlineStr">
        <is>
          <t>Sharma Kirana Store</t>
        </is>
      </c>
      <c r="D49" s="66" t="inlineStr">
        <is>
          <t>Copper Wire 90m</t>
        </is>
      </c>
      <c r="E49" s="67" t="n">
        <v>1</v>
      </c>
      <c r="I49" s="66" t="inlineStr">
        <is>
          <t>Delivered</t>
        </is>
      </c>
    </row>
    <row r="50">
      <c r="A50" s="65" t="n">
        <v>46163</v>
      </c>
      <c r="B50" s="66" t="inlineStr">
        <is>
          <t>INV-0034</t>
        </is>
      </c>
      <c r="C50" s="66" t="inlineStr">
        <is>
          <t>Sharma Kirana Store</t>
        </is>
      </c>
      <c r="D50" s="66" t="inlineStr">
        <is>
          <t>PVC Pipe 1in 6m</t>
        </is>
      </c>
      <c r="E50" s="67" t="n">
        <v>23</v>
      </c>
      <c r="G50" s="69" t="n">
        <v>0.05</v>
      </c>
      <c r="I50" s="66" t="inlineStr">
        <is>
          <t>Delivered</t>
        </is>
      </c>
    </row>
    <row r="51">
      <c r="A51" s="65" t="n">
        <v>46164</v>
      </c>
      <c r="B51" s="66" t="inlineStr">
        <is>
          <t>INV-0035</t>
        </is>
      </c>
      <c r="C51" s="66" t="inlineStr">
        <is>
          <t>Mehta Constructions</t>
        </is>
      </c>
      <c r="D51" s="66" t="inlineStr">
        <is>
          <t>PVC Pipe 1in 6m</t>
        </is>
      </c>
      <c r="E51" s="67" t="n">
        <v>25</v>
      </c>
      <c r="H51" s="66" t="inlineStr">
        <is>
          <t>UPI</t>
        </is>
      </c>
      <c r="I51" s="66" t="inlineStr">
        <is>
          <t>Delivered</t>
        </is>
      </c>
    </row>
    <row r="52">
      <c r="A52" s="65" t="n">
        <v>46164</v>
      </c>
      <c r="B52" s="66" t="inlineStr">
        <is>
          <t>INV-0035</t>
        </is>
      </c>
      <c r="C52" s="66" t="inlineStr">
        <is>
          <t>Mehta Constructions</t>
        </is>
      </c>
      <c r="D52" s="66" t="inlineStr">
        <is>
          <t>Copper Wire 90m</t>
        </is>
      </c>
      <c r="E52" s="67" t="n">
        <v>3</v>
      </c>
      <c r="H52" s="66" t="inlineStr">
        <is>
          <t>UPI</t>
        </is>
      </c>
      <c r="I52" s="66" t="inlineStr">
        <is>
          <t>Delivered</t>
        </is>
      </c>
    </row>
    <row r="53">
      <c r="A53" s="65" t="n">
        <v>46165</v>
      </c>
      <c r="B53" s="66" t="inlineStr">
        <is>
          <t>INV-0036</t>
        </is>
      </c>
      <c r="C53" s="66" t="inlineStr">
        <is>
          <t>Walk-in Customer</t>
        </is>
      </c>
      <c r="D53" s="66" t="inlineStr">
        <is>
          <t>LED Bulb 9W</t>
        </is>
      </c>
      <c r="E53" s="67" t="n">
        <v>41</v>
      </c>
      <c r="G53" s="69" t="n">
        <v>0.02</v>
      </c>
      <c r="H53" s="66" t="inlineStr">
        <is>
          <t>Cash</t>
        </is>
      </c>
      <c r="I53" s="66" t="inlineStr">
        <is>
          <t>Delivered</t>
        </is>
      </c>
    </row>
    <row r="54">
      <c r="A54" s="65" t="n">
        <v>46167</v>
      </c>
      <c r="B54" s="66" t="inlineStr">
        <is>
          <t>INV-0037</t>
        </is>
      </c>
      <c r="C54" s="66" t="inlineStr">
        <is>
          <t>Gupta Electricals</t>
        </is>
      </c>
      <c r="D54" s="66" t="inlineStr">
        <is>
          <t>Sugar 50kg</t>
        </is>
      </c>
      <c r="E54" s="67" t="n">
        <v>3</v>
      </c>
      <c r="I54" s="66" t="inlineStr">
        <is>
          <t>Delivered</t>
        </is>
      </c>
    </row>
    <row r="55">
      <c r="A55" s="65" t="n">
        <v>46169</v>
      </c>
      <c r="B55" s="66" t="inlineStr">
        <is>
          <t>INV-0038</t>
        </is>
      </c>
      <c r="C55" s="66" t="inlineStr">
        <is>
          <t>FMCG Distributors</t>
        </is>
      </c>
      <c r="D55" s="66" t="inlineStr">
        <is>
          <t>Refined Oil 15L</t>
        </is>
      </c>
      <c r="E55" s="67" t="n">
        <v>8</v>
      </c>
      <c r="I55" s="66" t="inlineStr">
        <is>
          <t>Delivered</t>
        </is>
      </c>
    </row>
    <row r="56">
      <c r="A56" s="65" t="n">
        <v>46171</v>
      </c>
      <c r="B56" s="66" t="inlineStr">
        <is>
          <t>INV-0039</t>
        </is>
      </c>
      <c r="C56" s="66" t="inlineStr">
        <is>
          <t>Walk-in Customer</t>
        </is>
      </c>
      <c r="D56" s="66" t="inlineStr">
        <is>
          <t>A4 Paper Ream</t>
        </is>
      </c>
      <c r="E56" s="67" t="n">
        <v>24</v>
      </c>
      <c r="H56" s="66" t="inlineStr">
        <is>
          <t>Cash</t>
        </is>
      </c>
      <c r="I56" s="66" t="inlineStr">
        <is>
          <t>Delivered</t>
        </is>
      </c>
    </row>
    <row r="57">
      <c r="A57" s="65" t="n">
        <v>46172</v>
      </c>
      <c r="B57" s="66" t="inlineStr">
        <is>
          <t>INV-0040</t>
        </is>
      </c>
      <c r="C57" s="66" t="inlineStr">
        <is>
          <t>Walk-in Customer</t>
        </is>
      </c>
      <c r="D57" s="66" t="inlineStr">
        <is>
          <t>LED Bulb 9W</t>
        </is>
      </c>
      <c r="E57" s="67" t="n">
        <v>45</v>
      </c>
      <c r="H57" s="66" t="inlineStr">
        <is>
          <t>Cash</t>
        </is>
      </c>
      <c r="I57" s="66" t="inlineStr">
        <is>
          <t>Delivered</t>
        </is>
      </c>
    </row>
    <row r="58">
      <c r="A58" s="65" t="n">
        <v>46174</v>
      </c>
      <c r="B58" s="66" t="inlineStr">
        <is>
          <t>INV-0041</t>
        </is>
      </c>
      <c r="C58" s="66" t="inlineStr">
        <is>
          <t>Gupta Electricals</t>
        </is>
      </c>
      <c r="D58" s="66" t="inlineStr">
        <is>
          <t>Sugar 50kg</t>
        </is>
      </c>
      <c r="E58" s="67" t="n">
        <v>3</v>
      </c>
      <c r="I58" s="66" t="inlineStr">
        <is>
          <t>Delivered</t>
        </is>
      </c>
    </row>
    <row r="59">
      <c r="A59" s="65" t="n">
        <v>46176</v>
      </c>
      <c r="B59" s="66" t="inlineStr">
        <is>
          <t>INV-0042</t>
        </is>
      </c>
      <c r="C59" s="66" t="inlineStr">
        <is>
          <t>Mehta Constructions</t>
        </is>
      </c>
      <c r="D59" s="66" t="inlineStr">
        <is>
          <t>A4 Paper Ream</t>
        </is>
      </c>
      <c r="E59" s="67" t="n">
        <v>24</v>
      </c>
      <c r="I59" s="66" t="inlineStr">
        <is>
          <t>Delivered</t>
        </is>
      </c>
    </row>
    <row r="60">
      <c r="A60" s="65" t="n">
        <v>46177</v>
      </c>
      <c r="B60" s="66" t="inlineStr">
        <is>
          <t>INV-0043</t>
        </is>
      </c>
      <c r="C60" s="66" t="inlineStr">
        <is>
          <t>Delhi Hardware Mart</t>
        </is>
      </c>
      <c r="D60" s="66" t="inlineStr">
        <is>
          <t>Cement 50kg</t>
        </is>
      </c>
      <c r="E60" s="67" t="n">
        <v>36</v>
      </c>
      <c r="H60" s="66" t="inlineStr">
        <is>
          <t>Bank</t>
        </is>
      </c>
      <c r="I60" s="66" t="inlineStr">
        <is>
          <t>Delivered</t>
        </is>
      </c>
    </row>
    <row r="61">
      <c r="A61" s="65" t="n">
        <v>46177</v>
      </c>
      <c r="B61" s="66" t="inlineStr">
        <is>
          <t>INV-0043</t>
        </is>
      </c>
      <c r="C61" s="66" t="inlineStr">
        <is>
          <t>Delhi Hardware Mart</t>
        </is>
      </c>
      <c r="D61" s="66" t="inlineStr">
        <is>
          <t>Copper Wire 90m</t>
        </is>
      </c>
      <c r="E61" s="67" t="n">
        <v>2</v>
      </c>
      <c r="H61" s="66" t="inlineStr">
        <is>
          <t>Bank</t>
        </is>
      </c>
      <c r="I61" s="66" t="inlineStr">
        <is>
          <t>Delivered</t>
        </is>
      </c>
    </row>
    <row r="62">
      <c r="A62" s="65" t="n">
        <v>46179</v>
      </c>
      <c r="B62" s="66" t="inlineStr">
        <is>
          <t>INV-0045</t>
        </is>
      </c>
      <c r="C62" s="66" t="inlineStr">
        <is>
          <t>Gupta Electricals</t>
        </is>
      </c>
      <c r="D62" s="66" t="inlineStr">
        <is>
          <t>Copper Wire 90m</t>
        </is>
      </c>
      <c r="E62" s="67" t="n">
        <v>1</v>
      </c>
      <c r="G62" s="69" t="n">
        <v>0.05</v>
      </c>
      <c r="I62" s="66" t="inlineStr">
        <is>
          <t>Delivered</t>
        </is>
      </c>
    </row>
    <row r="63">
      <c r="A63" s="65" t="n">
        <v>46181</v>
      </c>
      <c r="B63" s="66" t="inlineStr">
        <is>
          <t>INV-0046</t>
        </is>
      </c>
      <c r="C63" s="66" t="inlineStr">
        <is>
          <t>Mehta Constructions</t>
        </is>
      </c>
      <c r="D63" s="66" t="inlineStr">
        <is>
          <t>Basmati Rice 25kg</t>
        </is>
      </c>
      <c r="E63" s="67" t="n">
        <v>6</v>
      </c>
      <c r="H63" s="66" t="inlineStr">
        <is>
          <t>Bank</t>
        </is>
      </c>
      <c r="I63" s="66" t="inlineStr">
        <is>
          <t>Delivered</t>
        </is>
      </c>
    </row>
    <row r="64">
      <c r="A64" s="65" t="n">
        <v>46183</v>
      </c>
      <c r="B64" s="66" t="inlineStr">
        <is>
          <t>INV-0047</t>
        </is>
      </c>
      <c r="C64" s="66" t="inlineStr">
        <is>
          <t>Mehta Constructions</t>
        </is>
      </c>
      <c r="D64" s="66" t="inlineStr">
        <is>
          <t>Tea Premium 1kg</t>
        </is>
      </c>
      <c r="E64" s="67" t="n">
        <v>17</v>
      </c>
      <c r="I64" s="66" t="inlineStr">
        <is>
          <t>Delivered</t>
        </is>
      </c>
    </row>
    <row r="65">
      <c r="A65" s="65" t="n">
        <v>46184</v>
      </c>
      <c r="B65" s="66" t="inlineStr">
        <is>
          <t>INV-0048</t>
        </is>
      </c>
      <c r="C65" s="66" t="inlineStr">
        <is>
          <t>Walk-in Customer</t>
        </is>
      </c>
      <c r="D65" s="66" t="inlineStr">
        <is>
          <t>LED Bulb 9W</t>
        </is>
      </c>
      <c r="E65" s="67" t="n">
        <v>51</v>
      </c>
      <c r="H65" s="66" t="inlineStr">
        <is>
          <t>Cash</t>
        </is>
      </c>
      <c r="I65" s="66" t="inlineStr">
        <is>
          <t>Delivered</t>
        </is>
      </c>
    </row>
    <row r="66">
      <c r="A66" s="65" t="n">
        <v>46184</v>
      </c>
      <c r="B66" s="66" t="inlineStr">
        <is>
          <t>INV-0048</t>
        </is>
      </c>
      <c r="C66" s="66" t="inlineStr">
        <is>
          <t>Walk-in Customer</t>
        </is>
      </c>
      <c r="D66" s="66" t="inlineStr">
        <is>
          <t>PVC Pipe 1in 6m</t>
        </is>
      </c>
      <c r="E66" s="67" t="n">
        <v>35</v>
      </c>
      <c r="H66" s="66" t="inlineStr">
        <is>
          <t>Cash</t>
        </is>
      </c>
      <c r="I66" s="66" t="inlineStr">
        <is>
          <t>Delivered</t>
        </is>
      </c>
    </row>
    <row r="67">
      <c r="A67" s="65" t="n">
        <v>46185</v>
      </c>
      <c r="B67" s="66" t="inlineStr">
        <is>
          <t>INV-0049</t>
        </is>
      </c>
      <c r="C67" s="66" t="inlineStr">
        <is>
          <t>Delhi Hardware Mart</t>
        </is>
      </c>
      <c r="D67" s="66" t="inlineStr">
        <is>
          <t>Basmati Rice 25kg</t>
        </is>
      </c>
      <c r="E67" s="67" t="n">
        <v>8</v>
      </c>
      <c r="H67" s="66" t="inlineStr">
        <is>
          <t>UPI</t>
        </is>
      </c>
      <c r="I67" s="66" t="inlineStr">
        <is>
          <t>Delivered</t>
        </is>
      </c>
    </row>
    <row r="68">
      <c r="A68" s="65" t="n">
        <v>46188</v>
      </c>
      <c r="B68" s="66" t="inlineStr">
        <is>
          <t>INV-0050</t>
        </is>
      </c>
      <c r="C68" s="66" t="inlineStr">
        <is>
          <t>Walk-in Customer</t>
        </is>
      </c>
      <c r="D68" s="66" t="inlineStr">
        <is>
          <t>Basmati Rice 25kg</t>
        </is>
      </c>
      <c r="E68" s="67" t="n">
        <v>3</v>
      </c>
      <c r="G68" s="69" t="n">
        <v>0.02</v>
      </c>
      <c r="H68" s="66" t="inlineStr">
        <is>
          <t>Cash</t>
        </is>
      </c>
      <c r="I68" s="66" t="inlineStr">
        <is>
          <t>Delivered</t>
        </is>
      </c>
    </row>
    <row r="69">
      <c r="A69" s="65" t="n">
        <v>46189</v>
      </c>
      <c r="B69" s="66" t="inlineStr">
        <is>
          <t>INV-0051</t>
        </is>
      </c>
      <c r="C69" s="66" t="inlineStr">
        <is>
          <t>Walk-in Customer</t>
        </is>
      </c>
      <c r="D69" s="66" t="inlineStr">
        <is>
          <t>Detergent 5kg</t>
        </is>
      </c>
      <c r="E69" s="67" t="n">
        <v>9</v>
      </c>
      <c r="H69" s="66" t="inlineStr">
        <is>
          <t>Cash</t>
        </is>
      </c>
      <c r="I69" s="66" t="inlineStr">
        <is>
          <t>Delivered</t>
        </is>
      </c>
    </row>
    <row r="70">
      <c r="A70" s="65" t="n">
        <v>46189</v>
      </c>
      <c r="B70" s="66" t="inlineStr">
        <is>
          <t>INV-0051</t>
        </is>
      </c>
      <c r="C70" s="66" t="inlineStr">
        <is>
          <t>Walk-in Customer</t>
        </is>
      </c>
      <c r="D70" s="66" t="inlineStr">
        <is>
          <t>Basmati Rice 25kg</t>
        </is>
      </c>
      <c r="E70" s="67" t="n">
        <v>4</v>
      </c>
      <c r="H70" s="66" t="inlineStr">
        <is>
          <t>Cash</t>
        </is>
      </c>
      <c r="I70" s="66" t="inlineStr">
        <is>
          <t>Delivered</t>
        </is>
      </c>
    </row>
    <row r="71">
      <c r="A71" s="65" t="n">
        <v>46190</v>
      </c>
      <c r="B71" s="66" t="inlineStr">
        <is>
          <t>INV-0052</t>
        </is>
      </c>
      <c r="C71" s="66" t="inlineStr">
        <is>
          <t>FMCG Distributors</t>
        </is>
      </c>
      <c r="D71" s="66" t="inlineStr">
        <is>
          <t>Toothpaste 150g x12</t>
        </is>
      </c>
      <c r="E71" s="67" t="n">
        <v>3</v>
      </c>
      <c r="I71" s="66" t="inlineStr">
        <is>
          <t>Delivered</t>
        </is>
      </c>
    </row>
    <row r="72">
      <c r="A72" s="65" t="n">
        <v>46190</v>
      </c>
      <c r="B72" s="66" t="inlineStr">
        <is>
          <t>INV-0052</t>
        </is>
      </c>
      <c r="C72" s="66" t="inlineStr">
        <is>
          <t>FMCG Distributors</t>
        </is>
      </c>
      <c r="D72" s="66" t="inlineStr">
        <is>
          <t>Tea Premium 1kg</t>
        </is>
      </c>
      <c r="E72" s="67" t="n">
        <v>9</v>
      </c>
      <c r="I72" s="66" t="inlineStr">
        <is>
          <t>Delivered</t>
        </is>
      </c>
    </row>
    <row r="73">
      <c r="A73" s="65" t="n">
        <v>46192</v>
      </c>
      <c r="B73" s="66" t="inlineStr">
        <is>
          <t>INV-0053</t>
        </is>
      </c>
      <c r="C73" s="66" t="inlineStr">
        <is>
          <t>Walk-in Customer</t>
        </is>
      </c>
      <c r="D73" s="66" t="inlineStr">
        <is>
          <t>Copper Wire 90m</t>
        </is>
      </c>
      <c r="E73" s="67" t="n">
        <v>2</v>
      </c>
      <c r="H73" s="66" t="inlineStr">
        <is>
          <t>Cash</t>
        </is>
      </c>
      <c r="I73" s="66" t="inlineStr">
        <is>
          <t>Delivered</t>
        </is>
      </c>
    </row>
    <row r="74">
      <c r="A74" s="65" t="n">
        <v>46193</v>
      </c>
      <c r="B74" s="66" t="inlineStr">
        <is>
          <t>INV-0054</t>
        </is>
      </c>
      <c r="C74" s="66" t="inlineStr">
        <is>
          <t>Sharma Kirana Store</t>
        </is>
      </c>
      <c r="D74" s="66" t="inlineStr">
        <is>
          <t>Sugar 50kg</t>
        </is>
      </c>
      <c r="E74" s="67" t="n">
        <v>3</v>
      </c>
      <c r="G74" s="69" t="n">
        <v>0.05</v>
      </c>
      <c r="I74" s="66" t="inlineStr">
        <is>
          <t>Delivered</t>
        </is>
      </c>
    </row>
    <row r="75">
      <c r="A75" s="65" t="n">
        <v>46197</v>
      </c>
      <c r="B75" s="66" t="inlineStr">
        <is>
          <t>INV-0056</t>
        </is>
      </c>
      <c r="C75" s="66" t="inlineStr">
        <is>
          <t>Walk-in Customer</t>
        </is>
      </c>
      <c r="D75" s="66" t="inlineStr">
        <is>
          <t>Ceiling Fan 1200mm</t>
        </is>
      </c>
      <c r="E75" s="67" t="n">
        <v>4</v>
      </c>
      <c r="H75" s="66" t="inlineStr">
        <is>
          <t>Cash</t>
        </is>
      </c>
      <c r="I75" s="66" t="inlineStr">
        <is>
          <t>Delivered</t>
        </is>
      </c>
    </row>
    <row r="76">
      <c r="A76" s="65" t="n">
        <v>46198</v>
      </c>
      <c r="B76" s="66" t="inlineStr">
        <is>
          <t>INV-0057</t>
        </is>
      </c>
      <c r="C76" s="66" t="inlineStr">
        <is>
          <t>Delhi Hardware Mart</t>
        </is>
      </c>
      <c r="D76" s="66" t="inlineStr">
        <is>
          <t>PVC Pipe 1in 6m</t>
        </is>
      </c>
      <c r="E76" s="67" t="n">
        <v>23</v>
      </c>
      <c r="G76" s="69" t="n">
        <v>0.05</v>
      </c>
      <c r="I76" s="66" t="inlineStr">
        <is>
          <t>Delivered</t>
        </is>
      </c>
    </row>
    <row r="77">
      <c r="A77" s="65" t="n">
        <v>46200</v>
      </c>
      <c r="B77" s="66" t="inlineStr">
        <is>
          <t>INV-0058</t>
        </is>
      </c>
      <c r="C77" s="66" t="inlineStr">
        <is>
          <t>Gupta Electricals</t>
        </is>
      </c>
      <c r="D77" s="66" t="inlineStr">
        <is>
          <t>Refined Oil 15L</t>
        </is>
      </c>
      <c r="E77" s="67" t="n">
        <v>7</v>
      </c>
      <c r="I77" s="66" t="inlineStr">
        <is>
          <t>Delivered</t>
        </is>
      </c>
    </row>
    <row r="78">
      <c r="A78" s="65" t="n">
        <v>46202</v>
      </c>
      <c r="B78" s="66" t="inlineStr">
        <is>
          <t>INV-0059</t>
        </is>
      </c>
      <c r="C78" s="66" t="inlineStr">
        <is>
          <t>Walk-in Customer</t>
        </is>
      </c>
      <c r="D78" s="66" t="inlineStr">
        <is>
          <t>Basmati Rice 25kg</t>
        </is>
      </c>
      <c r="E78" s="67" t="n">
        <v>3</v>
      </c>
      <c r="G78" s="69" t="n">
        <v>0.05</v>
      </c>
      <c r="H78" s="66" t="inlineStr">
        <is>
          <t>Cash</t>
        </is>
      </c>
      <c r="I78" s="66" t="inlineStr">
        <is>
          <t>Delivered</t>
        </is>
      </c>
    </row>
    <row r="79">
      <c r="A79" s="65" t="n">
        <v>46203</v>
      </c>
      <c r="B79" s="66" t="inlineStr">
        <is>
          <t>INV-0060</t>
        </is>
      </c>
      <c r="C79" s="66" t="inlineStr">
        <is>
          <t>Mehta Constructions</t>
        </is>
      </c>
      <c r="D79" s="66" t="inlineStr">
        <is>
          <t>Sugar 50kg</t>
        </is>
      </c>
      <c r="E79" s="67" t="n">
        <v>6</v>
      </c>
      <c r="G79" s="69" t="n">
        <v>0.05</v>
      </c>
      <c r="I79" s="66" t="inlineStr">
        <is>
          <t>Delivered</t>
        </is>
      </c>
    </row>
    <row r="80">
      <c r="A80" s="65" t="n">
        <v>46205</v>
      </c>
      <c r="B80" s="66" t="inlineStr">
        <is>
          <t>INV-0061</t>
        </is>
      </c>
      <c r="C80" s="66" t="inlineStr">
        <is>
          <t>Walk-in Customer</t>
        </is>
      </c>
      <c r="D80" s="66" t="inlineStr">
        <is>
          <t>Tea Premium 1kg</t>
        </is>
      </c>
      <c r="E80" s="67" t="n">
        <v>15</v>
      </c>
      <c r="G80" s="69" t="n">
        <v>0.02</v>
      </c>
      <c r="H80" s="66" t="inlineStr">
        <is>
          <t>Cash</t>
        </is>
      </c>
      <c r="I80" s="66" t="inlineStr">
        <is>
          <t>Delivered</t>
        </is>
      </c>
    </row>
    <row r="81">
      <c r="A81" s="65" t="n">
        <v>46205</v>
      </c>
      <c r="B81" s="66" t="inlineStr">
        <is>
          <t>INV-0061</t>
        </is>
      </c>
      <c r="C81" s="66" t="inlineStr">
        <is>
          <t>Walk-in Customer</t>
        </is>
      </c>
      <c r="D81" s="66" t="inlineStr">
        <is>
          <t>Ceiling Fan 1200mm</t>
        </is>
      </c>
      <c r="E81" s="67" t="n">
        <v>3</v>
      </c>
      <c r="G81" s="69" t="n">
        <v>0.02</v>
      </c>
      <c r="H81" s="66" t="inlineStr">
        <is>
          <t>Cash</t>
        </is>
      </c>
      <c r="I81" s="66" t="inlineStr">
        <is>
          <t>Delivered</t>
        </is>
      </c>
    </row>
    <row r="82">
      <c r="A82" s="65" t="n">
        <v>46207</v>
      </c>
      <c r="B82" s="66" t="inlineStr">
        <is>
          <t>INV-0062</t>
        </is>
      </c>
      <c r="C82" s="66" t="inlineStr">
        <is>
          <t>Mehta Constructions</t>
        </is>
      </c>
      <c r="D82" s="66" t="inlineStr">
        <is>
          <t>Ceiling Fan 1200mm</t>
        </is>
      </c>
      <c r="E82" s="67" t="n">
        <v>3</v>
      </c>
      <c r="I82" s="66" t="inlineStr">
        <is>
          <t>Delivered</t>
        </is>
      </c>
    </row>
    <row r="83">
      <c r="A83" s="65" t="n">
        <v>46209</v>
      </c>
      <c r="B83" s="66" t="inlineStr">
        <is>
          <t>INV-0063</t>
        </is>
      </c>
      <c r="C83" s="66" t="inlineStr">
        <is>
          <t>Sharma Kirana Store</t>
        </is>
      </c>
      <c r="D83" s="66" t="inlineStr">
        <is>
          <t>Copper Wire 90m</t>
        </is>
      </c>
      <c r="E83" s="67" t="n">
        <v>2</v>
      </c>
      <c r="H83" s="66" t="inlineStr">
        <is>
          <t>UPI</t>
        </is>
      </c>
      <c r="I83" s="66" t="inlineStr">
        <is>
          <t>Delivered</t>
        </is>
      </c>
    </row>
    <row r="84">
      <c r="A84" s="65" t="n">
        <v>46210</v>
      </c>
      <c r="B84" s="66" t="inlineStr">
        <is>
          <t>INV-0064</t>
        </is>
      </c>
      <c r="C84" s="66" t="inlineStr">
        <is>
          <t>Walk-in Customer</t>
        </is>
      </c>
      <c r="D84" s="66" t="inlineStr">
        <is>
          <t>Ceiling Fan 1200mm</t>
        </is>
      </c>
      <c r="E84" s="67" t="n">
        <v>3</v>
      </c>
      <c r="G84" s="69" t="n">
        <v>0.02</v>
      </c>
      <c r="H84" s="66" t="inlineStr">
        <is>
          <t>Cash</t>
        </is>
      </c>
      <c r="I84" s="66" t="inlineStr">
        <is>
          <t>Delivered</t>
        </is>
      </c>
    </row>
    <row r="85">
      <c r="A85" s="65" t="n">
        <v>46211</v>
      </c>
      <c r="B85" s="66" t="inlineStr">
        <is>
          <t>INV-0065</t>
        </is>
      </c>
      <c r="C85" s="66" t="inlineStr">
        <is>
          <t>Walk-in Customer</t>
        </is>
      </c>
      <c r="D85" s="66" t="inlineStr">
        <is>
          <t>PVC Pipe 1in 6m</t>
        </is>
      </c>
      <c r="E85" s="67" t="n">
        <v>18</v>
      </c>
      <c r="H85" s="66" t="inlineStr">
        <is>
          <t>Cash</t>
        </is>
      </c>
      <c r="I85" s="66" t="inlineStr">
        <is>
          <t>Delivered</t>
        </is>
      </c>
    </row>
    <row r="86">
      <c r="A86" s="65" t="n">
        <v>46212</v>
      </c>
      <c r="B86" s="66" t="inlineStr">
        <is>
          <t>INV-0066</t>
        </is>
      </c>
      <c r="C86" s="66" t="inlineStr">
        <is>
          <t>Sharma Kirana Store</t>
        </is>
      </c>
      <c r="D86" s="66" t="inlineStr">
        <is>
          <t>Sugar 50kg</t>
        </is>
      </c>
      <c r="E86" s="67" t="n">
        <v>6</v>
      </c>
      <c r="G86" s="69" t="n">
        <v>0.02</v>
      </c>
      <c r="I86" s="66" t="inlineStr">
        <is>
          <t>Delivered</t>
        </is>
      </c>
    </row>
    <row r="87">
      <c r="A87" s="65" t="n">
        <v>46213</v>
      </c>
      <c r="B87" s="66" t="inlineStr">
        <is>
          <t>INV-0067</t>
        </is>
      </c>
      <c r="C87" s="66" t="inlineStr">
        <is>
          <t>Walk-in Customer</t>
        </is>
      </c>
      <c r="D87" s="66" t="inlineStr">
        <is>
          <t>Tea Premium 1kg</t>
        </is>
      </c>
      <c r="E87" s="67" t="n">
        <v>7</v>
      </c>
      <c r="H87" s="66" t="inlineStr">
        <is>
          <t>Cash</t>
        </is>
      </c>
      <c r="I87" s="66" t="inlineStr">
        <is>
          <t>Delivered</t>
        </is>
      </c>
    </row>
    <row r="88">
      <c r="A88" s="65" t="n">
        <v>46214</v>
      </c>
      <c r="B88" s="66" t="inlineStr">
        <is>
          <t>INV-0068</t>
        </is>
      </c>
      <c r="C88" s="66" t="inlineStr">
        <is>
          <t>Walk-in Customer</t>
        </is>
      </c>
      <c r="D88" s="66" t="inlineStr">
        <is>
          <t>Detergent 5kg</t>
        </is>
      </c>
      <c r="E88" s="67" t="n">
        <v>11</v>
      </c>
      <c r="G88" s="69" t="n">
        <v>0.02</v>
      </c>
      <c r="H88" s="66" t="inlineStr">
        <is>
          <t>Cash</t>
        </is>
      </c>
      <c r="I88" s="66" t="inlineStr">
        <is>
          <t>Delivered</t>
        </is>
      </c>
    </row>
    <row r="89">
      <c r="A89" s="65" t="n">
        <v>46216</v>
      </c>
      <c r="B89" s="66" t="inlineStr">
        <is>
          <t>INV-0069</t>
        </is>
      </c>
      <c r="C89" s="66" t="inlineStr">
        <is>
          <t>Walk-in Customer</t>
        </is>
      </c>
      <c r="D89" s="66" t="inlineStr">
        <is>
          <t>Sugar 50kg</t>
        </is>
      </c>
      <c r="E89" s="67" t="n">
        <v>6</v>
      </c>
      <c r="H89" s="66" t="inlineStr">
        <is>
          <t>Cash</t>
        </is>
      </c>
      <c r="I89" s="66" t="inlineStr">
        <is>
          <t>Delivered</t>
        </is>
      </c>
    </row>
    <row r="90">
      <c r="A90" s="65" t="n">
        <v>46217</v>
      </c>
      <c r="B90" s="66" t="inlineStr">
        <is>
          <t>INV-0070</t>
        </is>
      </c>
      <c r="C90" s="66" t="inlineStr">
        <is>
          <t>FMCG Distributors</t>
        </is>
      </c>
      <c r="D90" s="66" t="inlineStr">
        <is>
          <t>Tea Premium 1kg</t>
        </is>
      </c>
      <c r="E90" s="67" t="n">
        <v>14</v>
      </c>
      <c r="H90" s="66" t="inlineStr">
        <is>
          <t>UPI</t>
        </is>
      </c>
      <c r="I90" s="66" t="inlineStr">
        <is>
          <t>Delivered</t>
        </is>
      </c>
    </row>
    <row r="91">
      <c r="A91" s="65" t="n">
        <v>46218</v>
      </c>
      <c r="B91" s="66" t="inlineStr">
        <is>
          <t>INV-0071</t>
        </is>
      </c>
      <c r="C91" s="66" t="inlineStr">
        <is>
          <t>FMCG Distributors</t>
        </is>
      </c>
      <c r="D91" s="66" t="inlineStr">
        <is>
          <t>LED Bulb 9W</t>
        </is>
      </c>
      <c r="E91" s="67" t="n">
        <v>89</v>
      </c>
      <c r="G91" s="69" t="n">
        <v>0.05</v>
      </c>
      <c r="I91" s="66" t="inlineStr">
        <is>
          <t>Delivered</t>
        </is>
      </c>
    </row>
    <row r="92">
      <c r="A92" s="65" t="n">
        <v>46220</v>
      </c>
      <c r="B92" s="66" t="inlineStr">
        <is>
          <t>INV-0072</t>
        </is>
      </c>
      <c r="C92" s="66" t="inlineStr">
        <is>
          <t>Walk-in Customer</t>
        </is>
      </c>
      <c r="D92" s="66" t="inlineStr">
        <is>
          <t>Basmati Rice 25kg</t>
        </is>
      </c>
      <c r="E92" s="67" t="n">
        <v>5</v>
      </c>
      <c r="H92" s="66" t="inlineStr">
        <is>
          <t>Cash</t>
        </is>
      </c>
      <c r="I92" s="66" t="inlineStr">
        <is>
          <t>Delivered</t>
        </is>
      </c>
    </row>
    <row r="93">
      <c r="A93" s="65" t="n">
        <v>46221</v>
      </c>
      <c r="B93" s="66" t="inlineStr">
        <is>
          <t>INV-0073</t>
        </is>
      </c>
      <c r="C93" s="66" t="inlineStr">
        <is>
          <t>Delhi Hardware Mart</t>
        </is>
      </c>
      <c r="D93" s="66" t="inlineStr">
        <is>
          <t>LED Bulb 9W</t>
        </is>
      </c>
      <c r="E93" s="67" t="n">
        <v>63</v>
      </c>
      <c r="I93" s="66" t="inlineStr">
        <is>
          <t>Delivered</t>
        </is>
      </c>
    </row>
    <row r="94">
      <c r="A94" s="65" t="n">
        <v>46224</v>
      </c>
      <c r="B94" s="66" t="inlineStr">
        <is>
          <t>INV-0075</t>
        </is>
      </c>
      <c r="C94" s="66" t="inlineStr">
        <is>
          <t>Walk-in Customer</t>
        </is>
      </c>
      <c r="D94" s="66" t="inlineStr">
        <is>
          <t>Sugar 50kg</t>
        </is>
      </c>
      <c r="E94" s="67" t="n">
        <v>6</v>
      </c>
      <c r="G94" s="69" t="n">
        <v>0.02</v>
      </c>
      <c r="H94" s="66" t="inlineStr">
        <is>
          <t>Cash</t>
        </is>
      </c>
      <c r="I94" s="66" t="inlineStr">
        <is>
          <t>Delivered</t>
        </is>
      </c>
    </row>
    <row r="95">
      <c r="A95" s="65" t="n">
        <v>46224</v>
      </c>
      <c r="B95" s="66" t="inlineStr">
        <is>
          <t>INV-0075</t>
        </is>
      </c>
      <c r="C95" s="66" t="inlineStr">
        <is>
          <t>Walk-in Customer</t>
        </is>
      </c>
      <c r="D95" s="66" t="inlineStr">
        <is>
          <t>Basmati Rice 25kg</t>
        </is>
      </c>
      <c r="E95" s="67" t="n">
        <v>5</v>
      </c>
      <c r="H95" s="66" t="inlineStr">
        <is>
          <t>Cash</t>
        </is>
      </c>
      <c r="I95" s="66" t="inlineStr">
        <is>
          <t>Delivered</t>
        </is>
      </c>
    </row>
    <row r="96">
      <c r="A96" s="65" t="n">
        <v>46225</v>
      </c>
      <c r="B96" s="66" t="inlineStr">
        <is>
          <t>INV-0076</t>
        </is>
      </c>
      <c r="C96" s="66" t="inlineStr">
        <is>
          <t>Walk-in Customer</t>
        </is>
      </c>
      <c r="D96" s="66" t="inlineStr">
        <is>
          <t>PVC Pipe 1in 6m</t>
        </is>
      </c>
      <c r="E96" s="67" t="n">
        <v>16</v>
      </c>
      <c r="G96" s="69" t="n">
        <v>0.02</v>
      </c>
      <c r="H96" s="66" t="inlineStr">
        <is>
          <t>Cash</t>
        </is>
      </c>
      <c r="I96" s="66" t="inlineStr">
        <is>
          <t>Delivered</t>
        </is>
      </c>
    </row>
    <row r="97">
      <c r="A97" s="65" t="n">
        <v>46226</v>
      </c>
      <c r="B97" s="66" t="inlineStr">
        <is>
          <t>INV-0077</t>
        </is>
      </c>
      <c r="C97" s="66" t="inlineStr">
        <is>
          <t>FMCG Distributors</t>
        </is>
      </c>
      <c r="D97" s="66" t="inlineStr">
        <is>
          <t>Detergent 5kg</t>
        </is>
      </c>
      <c r="E97" s="67" t="n">
        <v>11</v>
      </c>
      <c r="I97" s="66" t="inlineStr">
        <is>
          <t>Delivered</t>
        </is>
      </c>
    </row>
    <row r="98">
      <c r="A98" s="65" t="n">
        <v>46227</v>
      </c>
      <c r="B98" s="66" t="inlineStr">
        <is>
          <t>INV-0078</t>
        </is>
      </c>
      <c r="C98" s="66" t="inlineStr">
        <is>
          <t>Walk-in Customer</t>
        </is>
      </c>
      <c r="D98" s="66" t="inlineStr">
        <is>
          <t>Copper Wire 90m</t>
        </is>
      </c>
      <c r="E98" s="67" t="n">
        <v>3</v>
      </c>
      <c r="G98" s="69" t="n">
        <v>0.02</v>
      </c>
      <c r="H98" s="66" t="inlineStr">
        <is>
          <t>Cash</t>
        </is>
      </c>
      <c r="I98" s="66" t="inlineStr">
        <is>
          <t>Delivered</t>
        </is>
      </c>
    </row>
    <row r="99">
      <c r="A99" s="65" t="n">
        <v>46230</v>
      </c>
      <c r="B99" s="66" t="inlineStr">
        <is>
          <t>INV-0079</t>
        </is>
      </c>
      <c r="C99" s="66" t="inlineStr">
        <is>
          <t>Delhi Hardware Mart</t>
        </is>
      </c>
      <c r="D99" s="66" t="inlineStr">
        <is>
          <t>PVC Pipe 1in 6m</t>
        </is>
      </c>
      <c r="E99" s="67" t="n">
        <v>33</v>
      </c>
      <c r="G99" s="69" t="n">
        <v>0.02</v>
      </c>
      <c r="I99" s="66" t="inlineStr">
        <is>
          <t>Delivered</t>
        </is>
      </c>
    </row>
    <row r="100">
      <c r="A100" s="65" t="n">
        <v>46231</v>
      </c>
      <c r="B100" s="66" t="inlineStr">
        <is>
          <t>INV-0080</t>
        </is>
      </c>
      <c r="C100" s="66" t="inlineStr">
        <is>
          <t>Walk-in Customer</t>
        </is>
      </c>
      <c r="D100" s="66" t="inlineStr">
        <is>
          <t>Copper Wire 90m</t>
        </is>
      </c>
      <c r="E100" s="67" t="n">
        <v>2</v>
      </c>
      <c r="G100" s="69" t="n">
        <v>0.05</v>
      </c>
      <c r="H100" s="66" t="inlineStr">
        <is>
          <t>Cash</t>
        </is>
      </c>
      <c r="I100" s="66" t="inlineStr">
        <is>
          <t>Delivered</t>
        </is>
      </c>
    </row>
    <row r="101">
      <c r="A101" s="65" t="n">
        <v>46232</v>
      </c>
      <c r="B101" s="66" t="inlineStr">
        <is>
          <t>INV-0081</t>
        </is>
      </c>
      <c r="C101" s="66" t="inlineStr">
        <is>
          <t>Walk-in Customer</t>
        </is>
      </c>
      <c r="D101" s="66" t="inlineStr">
        <is>
          <t>Refined Oil 15L</t>
        </is>
      </c>
      <c r="E101" s="67" t="n">
        <v>5</v>
      </c>
      <c r="H101" s="66" t="inlineStr">
        <is>
          <t>Cash</t>
        </is>
      </c>
      <c r="I101" s="66" t="inlineStr">
        <is>
          <t>Delivered</t>
        </is>
      </c>
    </row>
    <row r="102">
      <c r="A102" s="65" t="n">
        <v>46233</v>
      </c>
      <c r="B102" s="66" t="inlineStr">
        <is>
          <t>INV-0082</t>
        </is>
      </c>
      <c r="C102" s="66" t="inlineStr">
        <is>
          <t>Walk-in Customer</t>
        </is>
      </c>
      <c r="D102" s="66" t="inlineStr">
        <is>
          <t>Detergent 5kg</t>
        </is>
      </c>
      <c r="E102" s="67" t="n">
        <v>11</v>
      </c>
      <c r="H102" s="66" t="inlineStr">
        <is>
          <t>Cash</t>
        </is>
      </c>
      <c r="I102" s="66" t="inlineStr">
        <is>
          <t>Delivered</t>
        </is>
      </c>
    </row>
    <row r="103">
      <c r="A103" s="65" t="n">
        <v>46235</v>
      </c>
      <c r="B103" s="66" t="inlineStr">
        <is>
          <t>INV-0083</t>
        </is>
      </c>
      <c r="C103" s="66" t="inlineStr">
        <is>
          <t>Gupta Electricals</t>
        </is>
      </c>
      <c r="D103" s="66" t="inlineStr">
        <is>
          <t>LED Bulb 9W</t>
        </is>
      </c>
      <c r="E103" s="67" t="n">
        <v>56</v>
      </c>
      <c r="G103" s="69" t="n">
        <v>0.02</v>
      </c>
      <c r="I103" s="66" t="inlineStr">
        <is>
          <t>Delivered</t>
        </is>
      </c>
    </row>
    <row r="104">
      <c r="A104" s="65" t="n">
        <v>46237</v>
      </c>
      <c r="B104" s="66" t="inlineStr">
        <is>
          <t>INV-0084</t>
        </is>
      </c>
      <c r="C104" s="66" t="inlineStr">
        <is>
          <t>Mehta Constructions</t>
        </is>
      </c>
      <c r="D104" s="66" t="inlineStr">
        <is>
          <t>Basmati Rice 25kg</t>
        </is>
      </c>
      <c r="E104" s="67" t="n">
        <v>5</v>
      </c>
      <c r="G104" s="69" t="n">
        <v>0.02</v>
      </c>
      <c r="I104" s="66" t="inlineStr">
        <is>
          <t>Delivered</t>
        </is>
      </c>
    </row>
    <row r="105">
      <c r="A105" s="65" t="n">
        <v>46238</v>
      </c>
      <c r="B105" s="66" t="inlineStr">
        <is>
          <t>INV-0085</t>
        </is>
      </c>
      <c r="C105" s="66" t="inlineStr">
        <is>
          <t>Sharma Kirana Store</t>
        </is>
      </c>
      <c r="D105" s="66" t="inlineStr">
        <is>
          <t>PVC Pipe 1in 6m</t>
        </is>
      </c>
      <c r="E105" s="67" t="n">
        <v>32</v>
      </c>
      <c r="G105" s="69" t="n">
        <v>0.02</v>
      </c>
      <c r="I105" s="66" t="inlineStr">
        <is>
          <t>Delivered</t>
        </is>
      </c>
    </row>
    <row r="106">
      <c r="A106" s="65" t="n">
        <v>46239</v>
      </c>
      <c r="B106" s="66" t="inlineStr">
        <is>
          <t>INV-0086</t>
        </is>
      </c>
      <c r="C106" s="66" t="inlineStr">
        <is>
          <t>Gupta Electricals</t>
        </is>
      </c>
      <c r="D106" s="66" t="inlineStr">
        <is>
          <t>Refined Oil 15L</t>
        </is>
      </c>
      <c r="E106" s="67" t="n">
        <v>6</v>
      </c>
      <c r="I106" s="66" t="inlineStr">
        <is>
          <t>Delivered</t>
        </is>
      </c>
    </row>
    <row r="107">
      <c r="A107" s="65" t="n">
        <v>46244</v>
      </c>
      <c r="B107" s="66" t="inlineStr">
        <is>
          <t>INV-0087</t>
        </is>
      </c>
      <c r="C107" s="66" t="inlineStr">
        <is>
          <t>Walk-in Customer</t>
        </is>
      </c>
      <c r="D107" s="66" t="inlineStr">
        <is>
          <t>Basmati Rice 25kg</t>
        </is>
      </c>
      <c r="E107" s="67" t="n">
        <v>7</v>
      </c>
      <c r="H107" s="66" t="inlineStr">
        <is>
          <t>Cash</t>
        </is>
      </c>
      <c r="I107" s="66" t="inlineStr">
        <is>
          <t>Delivered</t>
        </is>
      </c>
    </row>
    <row r="108">
      <c r="A108" s="65" t="n">
        <v>46245</v>
      </c>
      <c r="B108" s="66" t="inlineStr">
        <is>
          <t>INV-0088</t>
        </is>
      </c>
      <c r="C108" s="66" t="inlineStr">
        <is>
          <t>Mehta Constructions</t>
        </is>
      </c>
      <c r="D108" s="66" t="inlineStr">
        <is>
          <t>Tea Premium 1kg</t>
        </is>
      </c>
      <c r="E108" s="67" t="n">
        <v>12</v>
      </c>
      <c r="G108" s="69" t="n">
        <v>0.05</v>
      </c>
      <c r="I108" s="66" t="inlineStr">
        <is>
          <t>Delivered</t>
        </is>
      </c>
    </row>
    <row r="109">
      <c r="A109" s="65" t="n">
        <v>46245</v>
      </c>
      <c r="B109" s="66" t="inlineStr">
        <is>
          <t>INV-0088</t>
        </is>
      </c>
      <c r="C109" s="66" t="inlineStr">
        <is>
          <t>Mehta Constructions</t>
        </is>
      </c>
      <c r="D109" s="66" t="inlineStr">
        <is>
          <t>Copper Wire 90m</t>
        </is>
      </c>
      <c r="E109" s="67" t="n">
        <v>2</v>
      </c>
      <c r="G109" s="69" t="n">
        <v>0.02</v>
      </c>
      <c r="I109" s="66" t="inlineStr">
        <is>
          <t>Delivered</t>
        </is>
      </c>
    </row>
    <row r="110">
      <c r="A110" s="65" t="n">
        <v>46246</v>
      </c>
      <c r="B110" s="66" t="inlineStr">
        <is>
          <t>INV-0089</t>
        </is>
      </c>
      <c r="C110" s="66" t="inlineStr">
        <is>
          <t>Sharma Kirana Store</t>
        </is>
      </c>
      <c r="D110" s="66" t="inlineStr">
        <is>
          <t>Copper Wire 90m</t>
        </is>
      </c>
      <c r="E110" s="67" t="n">
        <v>4</v>
      </c>
      <c r="G110" s="69" t="n">
        <v>0.02</v>
      </c>
      <c r="I110" s="66" t="inlineStr">
        <is>
          <t>Delivered</t>
        </is>
      </c>
    </row>
    <row r="111">
      <c r="A111" s="65" t="n">
        <v>46248</v>
      </c>
      <c r="B111" s="66" t="inlineStr">
        <is>
          <t>INV-0090</t>
        </is>
      </c>
      <c r="C111" s="66" t="inlineStr">
        <is>
          <t>Walk-in Customer</t>
        </is>
      </c>
      <c r="D111" s="66" t="inlineStr">
        <is>
          <t>LED Bulb 9W</t>
        </is>
      </c>
      <c r="E111" s="67" t="n">
        <v>47</v>
      </c>
      <c r="H111" s="66" t="inlineStr">
        <is>
          <t>Cash</t>
        </is>
      </c>
      <c r="I111" s="66" t="inlineStr">
        <is>
          <t>Delivered</t>
        </is>
      </c>
    </row>
    <row r="112">
      <c r="A112" s="65" t="n">
        <v>46248</v>
      </c>
      <c r="B112" s="66" t="inlineStr">
        <is>
          <t>INV-0090</t>
        </is>
      </c>
      <c r="C112" s="66" t="inlineStr">
        <is>
          <t>Walk-in Customer</t>
        </is>
      </c>
      <c r="D112" s="66" t="inlineStr">
        <is>
          <t>Toothpaste 150g x12</t>
        </is>
      </c>
      <c r="E112" s="67" t="n">
        <v>7</v>
      </c>
      <c r="G112" s="69" t="n">
        <v>0.02</v>
      </c>
      <c r="H112" s="66" t="inlineStr">
        <is>
          <t>Cash</t>
        </is>
      </c>
      <c r="I112" s="66" t="inlineStr">
        <is>
          <t>Delivered</t>
        </is>
      </c>
    </row>
    <row r="113">
      <c r="A113" s="65" t="n">
        <v>46249</v>
      </c>
      <c r="B113" s="66" t="inlineStr">
        <is>
          <t>INV-0091</t>
        </is>
      </c>
      <c r="C113" s="66" t="inlineStr">
        <is>
          <t>Walk-in Customer</t>
        </is>
      </c>
      <c r="D113" s="66" t="inlineStr">
        <is>
          <t>Basmati Rice 25kg</t>
        </is>
      </c>
      <c r="E113" s="67" t="n">
        <v>7</v>
      </c>
      <c r="G113" s="69" t="n">
        <v>0.05</v>
      </c>
      <c r="H113" s="66" t="inlineStr">
        <is>
          <t>Cash</t>
        </is>
      </c>
      <c r="I113" s="66" t="inlineStr">
        <is>
          <t>Delivered</t>
        </is>
      </c>
    </row>
    <row r="114">
      <c r="A114" s="65" t="n">
        <v>46252</v>
      </c>
      <c r="B114" s="66" t="inlineStr">
        <is>
          <t>INV-0092</t>
        </is>
      </c>
      <c r="C114" s="66" t="inlineStr">
        <is>
          <t>Walk-in Customer</t>
        </is>
      </c>
      <c r="D114" s="66" t="inlineStr">
        <is>
          <t>Detergent 5kg</t>
        </is>
      </c>
      <c r="E114" s="67" t="n">
        <v>11</v>
      </c>
      <c r="H114" s="66" t="inlineStr">
        <is>
          <t>Cash</t>
        </is>
      </c>
      <c r="I114" s="66" t="inlineStr">
        <is>
          <t>Delivered</t>
        </is>
      </c>
    </row>
    <row r="115">
      <c r="A115" s="65" t="n">
        <v>46253</v>
      </c>
      <c r="B115" s="66" t="inlineStr">
        <is>
          <t>INV-0093</t>
        </is>
      </c>
      <c r="C115" s="66" t="inlineStr">
        <is>
          <t>Walk-in Customer</t>
        </is>
      </c>
      <c r="D115" s="66" t="inlineStr">
        <is>
          <t>Detergent 5kg</t>
        </is>
      </c>
      <c r="E115" s="67" t="n">
        <v>11</v>
      </c>
      <c r="H115" s="66" t="inlineStr">
        <is>
          <t>Cash</t>
        </is>
      </c>
      <c r="I115" s="66" t="inlineStr">
        <is>
          <t>Delivered</t>
        </is>
      </c>
    </row>
    <row r="116">
      <c r="A116" s="65" t="n">
        <v>46255</v>
      </c>
      <c r="B116" s="66" t="inlineStr">
        <is>
          <t>INV-0094</t>
        </is>
      </c>
      <c r="C116" s="66" t="inlineStr">
        <is>
          <t>Delhi Hardware Mart</t>
        </is>
      </c>
      <c r="D116" s="66" t="inlineStr">
        <is>
          <t>LED Bulb 9W</t>
        </is>
      </c>
      <c r="E116" s="67" t="n">
        <v>85</v>
      </c>
      <c r="I116" s="66" t="inlineStr">
        <is>
          <t>Delivered</t>
        </is>
      </c>
    </row>
    <row r="117">
      <c r="A117" s="65" t="n">
        <v>46256</v>
      </c>
      <c r="B117" s="66" t="inlineStr">
        <is>
          <t>INV-0095</t>
        </is>
      </c>
      <c r="C117" s="66" t="inlineStr">
        <is>
          <t>Walk-in Customer</t>
        </is>
      </c>
      <c r="D117" s="66" t="inlineStr">
        <is>
          <t>Tea Premium 1kg</t>
        </is>
      </c>
      <c r="E117" s="67" t="n">
        <v>7</v>
      </c>
      <c r="G117" s="69" t="n">
        <v>0.05</v>
      </c>
      <c r="H117" s="66" t="inlineStr">
        <is>
          <t>Cash</t>
        </is>
      </c>
      <c r="I117" s="66" t="inlineStr">
        <is>
          <t>Delivered</t>
        </is>
      </c>
    </row>
    <row r="118">
      <c r="A118" s="65" t="n">
        <v>46258</v>
      </c>
      <c r="B118" s="66" t="inlineStr">
        <is>
          <t>INV-0096</t>
        </is>
      </c>
      <c r="C118" s="66" t="inlineStr">
        <is>
          <t>Walk-in Customer</t>
        </is>
      </c>
      <c r="D118" s="66" t="inlineStr">
        <is>
          <t>Ceiling Fan 1200mm</t>
        </is>
      </c>
      <c r="E118" s="67" t="n">
        <v>1</v>
      </c>
      <c r="G118" s="69" t="n">
        <v>0.02</v>
      </c>
      <c r="H118" s="66" t="inlineStr">
        <is>
          <t>Cash</t>
        </is>
      </c>
      <c r="I118" s="66" t="inlineStr">
        <is>
          <t>Delivered</t>
        </is>
      </c>
    </row>
    <row r="119">
      <c r="A119" s="65" t="n">
        <v>46259</v>
      </c>
      <c r="B119" s="66" t="inlineStr">
        <is>
          <t>INV-0097</t>
        </is>
      </c>
      <c r="C119" s="66" t="inlineStr">
        <is>
          <t>FMCG Distributors</t>
        </is>
      </c>
      <c r="D119" s="66" t="inlineStr">
        <is>
          <t>Refined Oil 15L</t>
        </is>
      </c>
      <c r="E119" s="67" t="n">
        <v>5</v>
      </c>
      <c r="I119" s="66" t="inlineStr">
        <is>
          <t>Delivered</t>
        </is>
      </c>
    </row>
    <row r="120">
      <c r="A120" s="65" t="n">
        <v>46260</v>
      </c>
      <c r="B120" s="66" t="inlineStr">
        <is>
          <t>INV-0098</t>
        </is>
      </c>
      <c r="C120" s="66" t="inlineStr">
        <is>
          <t>Sharma Kirana Store</t>
        </is>
      </c>
      <c r="D120" s="66" t="inlineStr">
        <is>
          <t>Ceiling Fan 1200mm</t>
        </is>
      </c>
      <c r="E120" s="67" t="n">
        <v>4</v>
      </c>
      <c r="I120" s="66" t="inlineStr">
        <is>
          <t>Delivered</t>
        </is>
      </c>
    </row>
    <row r="121">
      <c r="A121" s="65" t="n">
        <v>46260</v>
      </c>
      <c r="B121" s="66" t="inlineStr">
        <is>
          <t>INV-0098</t>
        </is>
      </c>
      <c r="C121" s="66" t="inlineStr">
        <is>
          <t>Sharma Kirana Store</t>
        </is>
      </c>
      <c r="D121" s="66" t="inlineStr">
        <is>
          <t>LED Bulb 9W</t>
        </is>
      </c>
      <c r="E121" s="67" t="n">
        <v>59</v>
      </c>
      <c r="I121" s="66" t="inlineStr">
        <is>
          <t>Delivered</t>
        </is>
      </c>
    </row>
    <row r="122">
      <c r="A122" s="65" t="n">
        <v>46263</v>
      </c>
      <c r="B122" s="66" t="inlineStr">
        <is>
          <t>INV-0099</t>
        </is>
      </c>
      <c r="C122" s="66" t="inlineStr">
        <is>
          <t>Gupta Electricals</t>
        </is>
      </c>
      <c r="D122" s="66" t="inlineStr">
        <is>
          <t>Sugar 50kg</t>
        </is>
      </c>
      <c r="E122" s="67" t="n">
        <v>5</v>
      </c>
      <c r="I122" s="66" t="inlineStr">
        <is>
          <t>Delivered</t>
        </is>
      </c>
    </row>
    <row r="123">
      <c r="A123" s="65" t="n">
        <v>46265</v>
      </c>
      <c r="B123" s="66" t="inlineStr">
        <is>
          <t>INV-0100</t>
        </is>
      </c>
      <c r="C123" s="66" t="inlineStr">
        <is>
          <t>FMCG Distributors</t>
        </is>
      </c>
      <c r="D123" s="66" t="inlineStr">
        <is>
          <t>Sugar 50kg</t>
        </is>
      </c>
      <c r="E123" s="67" t="n">
        <v>3</v>
      </c>
      <c r="G123" s="69" t="n">
        <v>0.02</v>
      </c>
      <c r="I123" s="66" t="inlineStr">
        <is>
          <t>Delivered</t>
        </is>
      </c>
    </row>
    <row r="124">
      <c r="A124" s="65" t="n">
        <v>46266</v>
      </c>
      <c r="B124" s="66" t="inlineStr">
        <is>
          <t>INV-0101</t>
        </is>
      </c>
      <c r="C124" s="66" t="inlineStr">
        <is>
          <t>Sharma Kirana Store</t>
        </is>
      </c>
      <c r="D124" s="66" t="inlineStr">
        <is>
          <t>Copper Wire 90m</t>
        </is>
      </c>
      <c r="E124" s="67" t="n">
        <v>1</v>
      </c>
      <c r="H124" s="66" t="inlineStr">
        <is>
          <t>UPI</t>
        </is>
      </c>
      <c r="I124" s="66" t="inlineStr">
        <is>
          <t>Delivered</t>
        </is>
      </c>
    </row>
    <row r="125">
      <c r="A125" s="65" t="n">
        <v>46267</v>
      </c>
      <c r="B125" s="66" t="inlineStr">
        <is>
          <t>INV-0102</t>
        </is>
      </c>
      <c r="C125" s="66" t="inlineStr">
        <is>
          <t>Walk-in Customer</t>
        </is>
      </c>
      <c r="D125" s="66" t="inlineStr">
        <is>
          <t>Sugar 50kg</t>
        </is>
      </c>
      <c r="E125" s="67" t="n">
        <v>4</v>
      </c>
      <c r="H125" s="66" t="inlineStr">
        <is>
          <t>Cash</t>
        </is>
      </c>
      <c r="I125" s="66" t="inlineStr">
        <is>
          <t>Delivered</t>
        </is>
      </c>
    </row>
    <row r="126">
      <c r="A126" s="65" t="n">
        <v>46267</v>
      </c>
      <c r="B126" s="66" t="inlineStr">
        <is>
          <t>INV-0102</t>
        </is>
      </c>
      <c r="C126" s="66" t="inlineStr">
        <is>
          <t>Walk-in Customer</t>
        </is>
      </c>
      <c r="D126" s="66" t="inlineStr">
        <is>
          <t>Cement 50kg</t>
        </is>
      </c>
      <c r="E126" s="67" t="n">
        <v>26</v>
      </c>
      <c r="G126" s="69" t="n">
        <v>0.05</v>
      </c>
      <c r="H126" s="66" t="inlineStr">
        <is>
          <t>Cash</t>
        </is>
      </c>
      <c r="I126" s="66" t="inlineStr">
        <is>
          <t>Delivered</t>
        </is>
      </c>
    </row>
    <row r="127">
      <c r="A127" s="65" t="n">
        <v>46269</v>
      </c>
      <c r="B127" s="66" t="inlineStr">
        <is>
          <t>INV-0103</t>
        </is>
      </c>
      <c r="C127" s="66" t="inlineStr">
        <is>
          <t>FMCG Distributors</t>
        </is>
      </c>
      <c r="D127" s="66" t="inlineStr">
        <is>
          <t>Basmati Rice 25kg</t>
        </is>
      </c>
      <c r="E127" s="67" t="n">
        <v>7</v>
      </c>
      <c r="G127" s="69" t="n">
        <v>0.05</v>
      </c>
      <c r="I127" s="66" t="inlineStr">
        <is>
          <t>Delivered</t>
        </is>
      </c>
    </row>
    <row r="128">
      <c r="A128" s="65" t="n">
        <v>46273</v>
      </c>
      <c r="B128" s="66" t="inlineStr">
        <is>
          <t>INV-0104</t>
        </is>
      </c>
      <c r="C128" s="66" t="inlineStr">
        <is>
          <t>Walk-in Customer</t>
        </is>
      </c>
      <c r="D128" s="66" t="inlineStr">
        <is>
          <t>Detergent 5kg</t>
        </is>
      </c>
      <c r="E128" s="67" t="n">
        <v>12</v>
      </c>
      <c r="G128" s="69" t="n">
        <v>0.02</v>
      </c>
      <c r="H128" s="66" t="inlineStr">
        <is>
          <t>Cash</t>
        </is>
      </c>
      <c r="I128" s="66" t="inlineStr">
        <is>
          <t>Delivered</t>
        </is>
      </c>
    </row>
    <row r="129">
      <c r="A129" s="65" t="n">
        <v>46274</v>
      </c>
      <c r="B129" s="66" t="inlineStr">
        <is>
          <t>INV-0105</t>
        </is>
      </c>
      <c r="C129" s="66" t="inlineStr">
        <is>
          <t>Walk-in Customer</t>
        </is>
      </c>
      <c r="D129" s="66" t="inlineStr">
        <is>
          <t>Basmati Rice 25kg</t>
        </is>
      </c>
      <c r="E129" s="67" t="n">
        <v>7</v>
      </c>
      <c r="H129" s="66" t="inlineStr">
        <is>
          <t>Cash</t>
        </is>
      </c>
      <c r="I129" s="66" t="inlineStr">
        <is>
          <t>Delivered</t>
        </is>
      </c>
    </row>
    <row r="130">
      <c r="A130" s="65" t="n">
        <v>46275</v>
      </c>
      <c r="B130" s="66" t="inlineStr">
        <is>
          <t>INV-0106</t>
        </is>
      </c>
      <c r="C130" s="66" t="inlineStr">
        <is>
          <t>Walk-in Customer</t>
        </is>
      </c>
      <c r="D130" s="66" t="inlineStr">
        <is>
          <t>Toothpaste 150g x12</t>
        </is>
      </c>
      <c r="E130" s="67" t="n">
        <v>6</v>
      </c>
      <c r="G130" s="69" t="n">
        <v>0.05</v>
      </c>
      <c r="H130" s="66" t="inlineStr">
        <is>
          <t>Cash</t>
        </is>
      </c>
      <c r="I130" s="66" t="inlineStr">
        <is>
          <t>Delivered</t>
        </is>
      </c>
    </row>
    <row r="131">
      <c r="A131" s="65" t="n">
        <v>46277</v>
      </c>
      <c r="B131" s="66" t="inlineStr">
        <is>
          <t>INV-0107</t>
        </is>
      </c>
      <c r="C131" s="66" t="inlineStr">
        <is>
          <t>Gupta Electricals</t>
        </is>
      </c>
      <c r="D131" s="66" t="inlineStr">
        <is>
          <t>Ceiling Fan 1200mm</t>
        </is>
      </c>
      <c r="E131" s="67" t="n">
        <v>4</v>
      </c>
      <c r="H131" s="66" t="inlineStr">
        <is>
          <t>UPI</t>
        </is>
      </c>
      <c r="I131" s="66" t="inlineStr">
        <is>
          <t>Delivered</t>
        </is>
      </c>
    </row>
    <row r="132">
      <c r="A132" s="65" t="n">
        <v>46279</v>
      </c>
      <c r="B132" s="66" t="inlineStr">
        <is>
          <t>INV-0108</t>
        </is>
      </c>
      <c r="C132" s="66" t="inlineStr">
        <is>
          <t>Delhi Hardware Mart</t>
        </is>
      </c>
      <c r="D132" s="66" t="inlineStr">
        <is>
          <t>Cement 50kg</t>
        </is>
      </c>
      <c r="E132" s="67" t="n">
        <v>42</v>
      </c>
      <c r="H132" s="66" t="inlineStr">
        <is>
          <t>UPI</t>
        </is>
      </c>
      <c r="I132" s="66" t="inlineStr">
        <is>
          <t>Delivered</t>
        </is>
      </c>
    </row>
    <row r="133">
      <c r="A133" s="65" t="n">
        <v>46281</v>
      </c>
      <c r="B133" s="66" t="inlineStr">
        <is>
          <t>INV-0109</t>
        </is>
      </c>
      <c r="C133" s="66" t="inlineStr">
        <is>
          <t>Mehta Constructions</t>
        </is>
      </c>
      <c r="D133" s="66" t="inlineStr">
        <is>
          <t>Detergent 5kg</t>
        </is>
      </c>
      <c r="E133" s="67" t="n">
        <v>7</v>
      </c>
      <c r="I133" s="66" t="inlineStr">
        <is>
          <t>Delivered</t>
        </is>
      </c>
    </row>
    <row r="134">
      <c r="A134" s="65" t="n">
        <v>46281</v>
      </c>
      <c r="B134" s="66" t="inlineStr">
        <is>
          <t>INV-0109</t>
        </is>
      </c>
      <c r="C134" s="66" t="inlineStr">
        <is>
          <t>Mehta Constructions</t>
        </is>
      </c>
      <c r="D134" s="66" t="inlineStr">
        <is>
          <t>Toothpaste 150g x12</t>
        </is>
      </c>
      <c r="E134" s="67" t="n">
        <v>4</v>
      </c>
      <c r="I134" s="66" t="inlineStr">
        <is>
          <t>Delivered</t>
        </is>
      </c>
    </row>
    <row r="135">
      <c r="A135" s="65" t="n">
        <v>46282</v>
      </c>
      <c r="B135" s="66" t="inlineStr">
        <is>
          <t>INV-0110</t>
        </is>
      </c>
      <c r="C135" s="66" t="inlineStr">
        <is>
          <t>Walk-in Customer</t>
        </is>
      </c>
      <c r="D135" s="66" t="inlineStr">
        <is>
          <t>Refined Oil 15L</t>
        </is>
      </c>
      <c r="E135" s="67" t="n">
        <v>5</v>
      </c>
      <c r="G135" s="69" t="n">
        <v>0.05</v>
      </c>
      <c r="H135" s="66" t="inlineStr">
        <is>
          <t>Cash</t>
        </is>
      </c>
      <c r="I135" s="66" t="inlineStr">
        <is>
          <t>Delivered</t>
        </is>
      </c>
    </row>
    <row r="136">
      <c r="A136" s="65" t="n">
        <v>46283</v>
      </c>
      <c r="B136" s="66" t="inlineStr">
        <is>
          <t>INV-0111</t>
        </is>
      </c>
      <c r="C136" s="66" t="inlineStr">
        <is>
          <t>FMCG Distributors</t>
        </is>
      </c>
      <c r="D136" s="66" t="inlineStr">
        <is>
          <t>Detergent 5kg</t>
        </is>
      </c>
      <c r="E136" s="67" t="n">
        <v>13</v>
      </c>
      <c r="G136" s="69" t="n">
        <v>0.05</v>
      </c>
      <c r="I136" s="66" t="inlineStr">
        <is>
          <t>Delivered</t>
        </is>
      </c>
    </row>
    <row r="137">
      <c r="A137" s="65" t="n">
        <v>46284</v>
      </c>
      <c r="B137" s="66" t="inlineStr">
        <is>
          <t>INV-0112</t>
        </is>
      </c>
      <c r="C137" s="66" t="inlineStr">
        <is>
          <t>Gupta Electricals</t>
        </is>
      </c>
      <c r="D137" s="66" t="inlineStr">
        <is>
          <t>Sugar 50kg</t>
        </is>
      </c>
      <c r="E137" s="67" t="n">
        <v>2</v>
      </c>
      <c r="H137" s="66" t="inlineStr">
        <is>
          <t>UPI</t>
        </is>
      </c>
      <c r="I137" s="66" t="inlineStr">
        <is>
          <t>Delivered</t>
        </is>
      </c>
    </row>
    <row r="138">
      <c r="A138" s="65" t="n">
        <v>46286</v>
      </c>
      <c r="B138" s="66" t="inlineStr">
        <is>
          <t>INV-0113</t>
        </is>
      </c>
      <c r="C138" s="66" t="inlineStr">
        <is>
          <t>FMCG Distributors</t>
        </is>
      </c>
      <c r="D138" s="66" t="inlineStr">
        <is>
          <t>Tea Premium 1kg</t>
        </is>
      </c>
      <c r="E138" s="67" t="n">
        <v>8</v>
      </c>
      <c r="I138" s="66" t="inlineStr">
        <is>
          <t>Delivered</t>
        </is>
      </c>
    </row>
    <row r="139">
      <c r="A139" s="65" t="n">
        <v>46287</v>
      </c>
      <c r="B139" s="66" t="inlineStr">
        <is>
          <t>INV-0114</t>
        </is>
      </c>
      <c r="C139" s="66" t="inlineStr">
        <is>
          <t>Gupta Electricals</t>
        </is>
      </c>
      <c r="D139" s="66" t="inlineStr">
        <is>
          <t>Refined Oil 15L</t>
        </is>
      </c>
      <c r="E139" s="67" t="n">
        <v>6</v>
      </c>
      <c r="I139" s="66" t="inlineStr">
        <is>
          <t>Delivered</t>
        </is>
      </c>
    </row>
    <row r="140">
      <c r="A140" s="65" t="n">
        <v>46287</v>
      </c>
      <c r="B140" s="66" t="inlineStr">
        <is>
          <t>INV-0114</t>
        </is>
      </c>
      <c r="C140" s="66" t="inlineStr">
        <is>
          <t>Gupta Electricals</t>
        </is>
      </c>
      <c r="D140" s="66" t="inlineStr">
        <is>
          <t>Copper Wire 90m</t>
        </is>
      </c>
      <c r="E140" s="67" t="n">
        <v>2</v>
      </c>
      <c r="G140" s="69" t="n">
        <v>0.05</v>
      </c>
      <c r="I140" s="66" t="inlineStr">
        <is>
          <t>Delivered</t>
        </is>
      </c>
    </row>
    <row r="141">
      <c r="A141" s="65" t="n">
        <v>46288</v>
      </c>
      <c r="B141" s="66" t="inlineStr">
        <is>
          <t>INV-0115</t>
        </is>
      </c>
      <c r="C141" s="66" t="inlineStr">
        <is>
          <t>Walk-in Customer</t>
        </is>
      </c>
      <c r="D141" s="66" t="inlineStr">
        <is>
          <t>Toothpaste 150g x12</t>
        </is>
      </c>
      <c r="E141" s="67" t="n">
        <v>5</v>
      </c>
      <c r="H141" s="66" t="inlineStr">
        <is>
          <t>Cash</t>
        </is>
      </c>
      <c r="I141" s="66" t="inlineStr">
        <is>
          <t>Delivered</t>
        </is>
      </c>
    </row>
    <row r="142">
      <c r="A142" s="65" t="n">
        <v>46289</v>
      </c>
      <c r="B142" s="66" t="inlineStr">
        <is>
          <t>INV-0116</t>
        </is>
      </c>
      <c r="C142" s="66" t="inlineStr">
        <is>
          <t>Mehta Constructions</t>
        </is>
      </c>
      <c r="D142" s="66" t="inlineStr">
        <is>
          <t>Ceiling Fan 1200mm</t>
        </is>
      </c>
      <c r="E142" s="67" t="n">
        <v>4</v>
      </c>
      <c r="I142" s="66" t="inlineStr">
        <is>
          <t>Delivered</t>
        </is>
      </c>
    </row>
    <row r="143">
      <c r="A143" s="65" t="n">
        <v>46290</v>
      </c>
      <c r="B143" s="66" t="inlineStr">
        <is>
          <t>INV-0117</t>
        </is>
      </c>
      <c r="C143" s="66" t="inlineStr">
        <is>
          <t>Walk-in Customer</t>
        </is>
      </c>
      <c r="D143" s="66" t="inlineStr">
        <is>
          <t>Toothpaste 150g x12</t>
        </is>
      </c>
      <c r="E143" s="67" t="n">
        <v>6</v>
      </c>
      <c r="H143" s="66" t="inlineStr">
        <is>
          <t>Cash</t>
        </is>
      </c>
      <c r="I143" s="66" t="inlineStr">
        <is>
          <t>Delivered</t>
        </is>
      </c>
    </row>
    <row r="144">
      <c r="A144" s="65" t="n">
        <v>46290</v>
      </c>
      <c r="B144" s="66" t="inlineStr">
        <is>
          <t>INV-0117</t>
        </is>
      </c>
      <c r="C144" s="66" t="inlineStr">
        <is>
          <t>Walk-in Customer</t>
        </is>
      </c>
      <c r="D144" s="66" t="inlineStr">
        <is>
          <t>Refined Oil 15L</t>
        </is>
      </c>
      <c r="E144" s="67" t="n">
        <v>4</v>
      </c>
      <c r="G144" s="69" t="n">
        <v>0.02</v>
      </c>
      <c r="H144" s="66" t="inlineStr">
        <is>
          <t>Cash</t>
        </is>
      </c>
      <c r="I144" s="66" t="inlineStr">
        <is>
          <t>Delivered</t>
        </is>
      </c>
    </row>
    <row r="145">
      <c r="A145" s="65" t="n">
        <v>46291</v>
      </c>
      <c r="B145" s="66" t="inlineStr">
        <is>
          <t>INV-0118</t>
        </is>
      </c>
      <c r="C145" s="66" t="inlineStr">
        <is>
          <t>Gupta Electricals</t>
        </is>
      </c>
      <c r="D145" s="66" t="inlineStr">
        <is>
          <t>LED Bulb 9W</t>
        </is>
      </c>
      <c r="E145" s="67" t="n">
        <v>71</v>
      </c>
      <c r="H145" s="66" t="inlineStr">
        <is>
          <t>UPI</t>
        </is>
      </c>
      <c r="I145" s="66" t="inlineStr">
        <is>
          <t>Delivered</t>
        </is>
      </c>
    </row>
    <row r="146">
      <c r="A146" s="65" t="n">
        <v>46294</v>
      </c>
      <c r="B146" s="66" t="inlineStr">
        <is>
          <t>INV-0119</t>
        </is>
      </c>
      <c r="C146" s="66" t="inlineStr">
        <is>
          <t>Walk-in Customer</t>
        </is>
      </c>
      <c r="D146" s="66" t="inlineStr">
        <is>
          <t>Detergent 5kg</t>
        </is>
      </c>
      <c r="E146" s="67" t="n">
        <v>13</v>
      </c>
      <c r="H146" s="66" t="inlineStr">
        <is>
          <t>Cash</t>
        </is>
      </c>
      <c r="I146" s="66" t="inlineStr">
        <is>
          <t>Delivered</t>
        </is>
      </c>
    </row>
    <row r="147">
      <c r="A147" s="65" t="n">
        <v>46294</v>
      </c>
      <c r="B147" s="66" t="inlineStr">
        <is>
          <t>INV-0119</t>
        </is>
      </c>
      <c r="C147" s="66" t="inlineStr">
        <is>
          <t>Walk-in Customer</t>
        </is>
      </c>
      <c r="D147" s="66" t="inlineStr">
        <is>
          <t>LED Bulb 9W</t>
        </is>
      </c>
      <c r="E147" s="67" t="n">
        <v>57</v>
      </c>
      <c r="H147" s="66" t="inlineStr">
        <is>
          <t>Cash</t>
        </is>
      </c>
      <c r="I147" s="66" t="inlineStr">
        <is>
          <t>Delivered</t>
        </is>
      </c>
    </row>
    <row r="148">
      <c r="A148" s="65" t="n">
        <v>46295</v>
      </c>
      <c r="B148" s="66" t="inlineStr">
        <is>
          <t>INV-0120</t>
        </is>
      </c>
      <c r="C148" s="66" t="inlineStr">
        <is>
          <t>FMCG Distributors</t>
        </is>
      </c>
      <c r="D148" s="66" t="inlineStr">
        <is>
          <t>Basmati Rice 25kg</t>
        </is>
      </c>
      <c r="E148" s="67" t="n">
        <v>8</v>
      </c>
      <c r="H148" s="66" t="inlineStr">
        <is>
          <t>UPI</t>
        </is>
      </c>
      <c r="I148" s="66" t="inlineStr">
        <is>
          <t>Delivered</t>
        </is>
      </c>
    </row>
    <row r="149">
      <c r="A149" s="65" t="n">
        <v>46296</v>
      </c>
      <c r="B149" s="66" t="inlineStr">
        <is>
          <t>INV-0121</t>
        </is>
      </c>
      <c r="C149" s="66" t="inlineStr">
        <is>
          <t>FMCG Distributors</t>
        </is>
      </c>
      <c r="D149" s="66" t="inlineStr">
        <is>
          <t>Refined Oil 15L</t>
        </is>
      </c>
      <c r="E149" s="67" t="n">
        <v>3</v>
      </c>
      <c r="G149" s="69" t="n">
        <v>0.05</v>
      </c>
      <c r="H149" s="66" t="inlineStr">
        <is>
          <t>UPI</t>
        </is>
      </c>
      <c r="I149" s="66" t="inlineStr">
        <is>
          <t>Delivered</t>
        </is>
      </c>
    </row>
    <row r="150">
      <c r="A150" s="65" t="n">
        <v>46297</v>
      </c>
      <c r="B150" s="66" t="inlineStr">
        <is>
          <t>INV-0122</t>
        </is>
      </c>
      <c r="C150" s="66" t="inlineStr">
        <is>
          <t>Walk-in Customer</t>
        </is>
      </c>
      <c r="D150" s="66" t="inlineStr">
        <is>
          <t>Cement 50kg</t>
        </is>
      </c>
      <c r="E150" s="67" t="n">
        <v>34</v>
      </c>
      <c r="H150" s="66" t="inlineStr">
        <is>
          <t>Cash</t>
        </is>
      </c>
      <c r="I150" s="66" t="inlineStr">
        <is>
          <t>Delivered</t>
        </is>
      </c>
    </row>
    <row r="151">
      <c r="A151" s="65" t="n">
        <v>46298</v>
      </c>
      <c r="B151" s="66" t="inlineStr">
        <is>
          <t>INV-0123</t>
        </is>
      </c>
      <c r="C151" s="66" t="inlineStr">
        <is>
          <t>Delhi Hardware Mart</t>
        </is>
      </c>
      <c r="D151" s="66" t="inlineStr">
        <is>
          <t>Refined Oil 15L</t>
        </is>
      </c>
      <c r="E151" s="67" t="n">
        <v>6</v>
      </c>
      <c r="I151" s="66" t="inlineStr">
        <is>
          <t>Delivered</t>
        </is>
      </c>
    </row>
    <row r="152">
      <c r="A152" s="65" t="n">
        <v>46301</v>
      </c>
      <c r="B152" s="66" t="inlineStr">
        <is>
          <t>INV-0124</t>
        </is>
      </c>
      <c r="C152" s="66" t="inlineStr">
        <is>
          <t>Mehta Constructions</t>
        </is>
      </c>
      <c r="D152" s="66" t="inlineStr">
        <is>
          <t>Copper Wire 90m</t>
        </is>
      </c>
      <c r="E152" s="67" t="n">
        <v>2</v>
      </c>
      <c r="G152" s="69" t="n">
        <v>0.05</v>
      </c>
      <c r="I152" s="66" t="inlineStr">
        <is>
          <t>Dispatched</t>
        </is>
      </c>
    </row>
    <row r="153">
      <c r="A153" s="65" t="n">
        <v>46302</v>
      </c>
      <c r="B153" s="66" t="inlineStr">
        <is>
          <t>INV-0125</t>
        </is>
      </c>
      <c r="C153" s="66" t="inlineStr">
        <is>
          <t>Gupta Electricals</t>
        </is>
      </c>
      <c r="D153" s="66" t="inlineStr">
        <is>
          <t>Refined Oil 15L</t>
        </is>
      </c>
      <c r="E153" s="67" t="n">
        <v>7</v>
      </c>
      <c r="H153" s="66" t="inlineStr">
        <is>
          <t>Bank</t>
        </is>
      </c>
      <c r="I153" s="66" t="inlineStr">
        <is>
          <t>Dispatched</t>
        </is>
      </c>
    </row>
    <row r="154">
      <c r="A154" s="65" t="n">
        <v>46303</v>
      </c>
      <c r="B154" s="66" t="inlineStr">
        <is>
          <t>INV-0126</t>
        </is>
      </c>
      <c r="C154" s="66" t="inlineStr">
        <is>
          <t>Walk-in Customer</t>
        </is>
      </c>
      <c r="D154" s="66" t="inlineStr">
        <is>
          <t>Refined Oil 15L</t>
        </is>
      </c>
      <c r="E154" s="67" t="n">
        <v>6</v>
      </c>
      <c r="H154" s="66" t="inlineStr">
        <is>
          <t>Cash</t>
        </is>
      </c>
      <c r="I154" s="66" t="inlineStr">
        <is>
          <t>Packed</t>
        </is>
      </c>
    </row>
    <row r="155">
      <c r="A155" s="65" t="n">
        <v>46304</v>
      </c>
      <c r="B155" s="66" t="inlineStr">
        <is>
          <t>INV-0127</t>
        </is>
      </c>
      <c r="C155" s="66" t="inlineStr">
        <is>
          <t>Walk-in Customer</t>
        </is>
      </c>
      <c r="D155" s="66" t="inlineStr">
        <is>
          <t>Sugar 50kg</t>
        </is>
      </c>
      <c r="E155" s="67" t="n">
        <v>3</v>
      </c>
      <c r="H155" s="66" t="inlineStr">
        <is>
          <t>Cash</t>
        </is>
      </c>
      <c r="I155" s="66" t="inlineStr">
        <is>
          <t>Pending</t>
        </is>
      </c>
    </row>
  </sheetData>
  <autoFilter ref="A4:X20004"/>
  <mergeCells count="2">
    <mergeCell ref="A2:X2"/>
    <mergeCell ref="A1:X1"/>
  </mergeCells>
  <conditionalFormatting sqref="T5:T20004">
    <cfRule type="cellIs" priority="1" operator="equal" dxfId="3">
      <formula>"NEG STOCK"</formula>
    </cfRule>
    <cfRule type="cellIs" priority="2" operator="equal" dxfId="4">
      <formula>"BELOW COST"</formula>
    </cfRule>
    <cfRule type="cellIs" priority="3" operator="equal" dxfId="5">
      <formula>"UNKNOWN ITEM"</formula>
    </cfRule>
    <cfRule type="cellIs" priority="6" operator="equal" dxfId="7">
      <formula>"PRO PLAN"</formula>
    </cfRule>
  </conditionalFormatting>
  <conditionalFormatting sqref="I5:I20004">
    <cfRule type="cellIs" priority="4" operator="equal" dxfId="4">
      <formula>"Pending"</formula>
    </cfRule>
  </conditionalFormatting>
  <conditionalFormatting sqref="A5:I20004">
    <cfRule type="expression" priority="5" dxfId="8">
      <formula>AND($B5&lt;&gt;"",ISODD(N($W5)))</formula>
    </cfRule>
  </conditionalFormatting>
  <dataValidations count="6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  <dataValidation sqref="I5:I20004" showDropDown="0" showInputMessage="0" showErrorMessage="1" allowBlank="1" error="Pick a value from the list (add new masters on the master sheet first)." type="list" errorStyle="stop">
      <formula1>L_DeliveryStatus</formula1>
    </dataValidation>
  </dataValidations>
  <hyperlinks>
    <hyperlink xmlns:r="http://schemas.openxmlformats.org/officeDocument/2006/relationships" ref="Z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U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6" customWidth="1" style="70" min="9" max="9"/>
    <col width="10" customWidth="1" style="71" min="10" max="10"/>
    <col width="12" customWidth="1" style="71" min="11" max="11"/>
    <col width="7" customWidth="1" style="72" min="12" max="12"/>
    <col width="10" customWidth="1" style="71" min="13" max="13"/>
    <col width="10" customWidth="1" style="71" min="14" max="14"/>
    <col width="10" customWidth="1" style="71" min="15" max="15"/>
    <col width="12" customWidth="1" style="71" min="16" max="16"/>
    <col hidden="1" width="6" customWidth="1" style="70" min="17" max="17"/>
    <col hidden="1" width="6" customWidth="1" style="70" min="18" max="18"/>
    <col width="11" customWidth="1" style="71" min="19" max="19"/>
  </cols>
  <sheetData>
    <row r="1" ht="28" customHeight="1">
      <c r="A1" s="73" t="inlineStr">
        <is>
          <t>PURCHASES / GOODS RECEIVED (PROCURE)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One line per item received. Stock, average cost, supplier payable and GST input credit update instantly.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{=_xll.ST_PURCHASES(...)} fills I:S</t>
        </is>
      </c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Date *</t>
        </is>
      </c>
      <c r="B4" s="78" t="inlineStr">
        <is>
          <t>Bill No *</t>
        </is>
      </c>
      <c r="C4" s="78" t="inlineStr">
        <is>
          <t>Supplier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9" t="inlineStr">
        <is>
          <t>Unit</t>
        </is>
      </c>
      <c r="J4" s="79" t="inlineStr">
        <is>
          <t>Rate Used (₹)</t>
        </is>
      </c>
      <c r="K4" s="79" t="inlineStr">
        <is>
          <t>Taxable (₹)</t>
        </is>
      </c>
      <c r="L4" s="79" t="inlineStr">
        <is>
          <t>GST %</t>
        </is>
      </c>
      <c r="M4" s="79" t="inlineStr">
        <is>
          <t>CGST (₹)</t>
        </is>
      </c>
      <c r="N4" s="79" t="inlineStr">
        <is>
          <t>SGST (₹)</t>
        </is>
      </c>
      <c r="O4" s="79" t="inlineStr">
        <is>
          <t>IGST (₹)</t>
        </is>
      </c>
      <c r="P4" s="79" t="inlineStr">
        <is>
          <t>Bill Total (₹)</t>
        </is>
      </c>
      <c r="Q4" s="79" t="inlineStr">
        <is>
          <t>itemRow</t>
        </is>
      </c>
      <c r="R4" s="79" t="inlineStr">
        <is>
          <t>partyRow</t>
        </is>
      </c>
      <c r="S4" s="79" t="inlineStr">
        <is>
          <t>Paid Now (₹)</t>
        </is>
      </c>
    </row>
    <row r="5">
      <c r="A5" s="65" t="n">
        <v>46113</v>
      </c>
      <c r="B5" s="66" t="inlineStr">
        <is>
          <t>B-0001</t>
        </is>
      </c>
      <c r="C5" s="66" t="inlineStr">
        <is>
          <t>Bharat Electric Co</t>
        </is>
      </c>
      <c r="D5" s="66" t="inlineStr">
        <is>
          <t>Copper Wire 90m</t>
        </is>
      </c>
      <c r="E5" s="67" t="n">
        <v>13</v>
      </c>
      <c r="F5" s="68" t="n">
        <v>2517</v>
      </c>
      <c r="I5" s="70">
        <f t="array" ref="I5:S20004">_xll.ST_PURCHASES(IN_Items,IN_Parties,IN_Purchases,IN_Sales,IN_CashBook,IN_Adjust,IN_Settings)</f>
        <v/>
      </c>
    </row>
    <row r="6">
      <c r="A6" s="65" t="n">
        <v>46113</v>
      </c>
      <c r="B6" s="66" t="inlineStr">
        <is>
          <t>B-0001</t>
        </is>
      </c>
      <c r="C6" s="66" t="inlineStr">
        <is>
          <t>Bharat Electric Co</t>
        </is>
      </c>
      <c r="D6" s="66" t="inlineStr">
        <is>
          <t>Ceiling Fan 1200mm</t>
        </is>
      </c>
      <c r="E6" s="67" t="n">
        <v>21</v>
      </c>
      <c r="F6" s="68" t="n">
        <v>1650</v>
      </c>
    </row>
    <row r="7">
      <c r="A7" s="65" t="n">
        <v>46113</v>
      </c>
      <c r="B7" s="66" t="inlineStr">
        <is>
          <t>B-0002</t>
        </is>
      </c>
      <c r="C7" s="66" t="inlineStr">
        <is>
          <t>FMCG Distributors</t>
        </is>
      </c>
      <c r="D7" s="66" t="inlineStr">
        <is>
          <t>Toothpaste 150g x12</t>
        </is>
      </c>
      <c r="E7" s="67" t="n">
        <v>25</v>
      </c>
      <c r="F7" s="68" t="n">
        <v>885</v>
      </c>
    </row>
    <row r="8">
      <c r="A8" s="65" t="n">
        <v>46144</v>
      </c>
      <c r="B8" s="66" t="inlineStr">
        <is>
          <t>B-0003</t>
        </is>
      </c>
      <c r="C8" s="66" t="inlineStr">
        <is>
          <t>Agro Foods Pvt Ltd</t>
        </is>
      </c>
      <c r="D8" s="66" t="inlineStr">
        <is>
          <t>Basmati Rice 25kg</t>
        </is>
      </c>
      <c r="E8" s="67" t="n">
        <v>29</v>
      </c>
      <c r="F8" s="68" t="n">
        <v>1664</v>
      </c>
    </row>
    <row r="9">
      <c r="A9" s="65" t="n">
        <v>46144</v>
      </c>
      <c r="B9" s="66" t="inlineStr">
        <is>
          <t>B-0003</t>
        </is>
      </c>
      <c r="C9" s="66" t="inlineStr">
        <is>
          <t>Agro Foods Pvt Ltd</t>
        </is>
      </c>
      <c r="D9" s="66" t="inlineStr">
        <is>
          <t>Sugar 50kg</t>
        </is>
      </c>
      <c r="E9" s="67" t="n">
        <v>23</v>
      </c>
      <c r="F9" s="68" t="n">
        <v>2064</v>
      </c>
    </row>
    <row r="10">
      <c r="A10" s="65" t="n">
        <v>46144</v>
      </c>
      <c r="B10" s="66" t="inlineStr">
        <is>
          <t>B-0003</t>
        </is>
      </c>
      <c r="C10" s="66" t="inlineStr">
        <is>
          <t>Agro Foods Pvt Ltd</t>
        </is>
      </c>
      <c r="D10" s="66" t="inlineStr">
        <is>
          <t>Refined Oil 15L</t>
        </is>
      </c>
      <c r="E10" s="67" t="n">
        <v>33</v>
      </c>
      <c r="F10" s="68" t="n">
        <v>1932</v>
      </c>
    </row>
    <row r="11">
      <c r="A11" s="65" t="n">
        <v>46144</v>
      </c>
      <c r="B11" s="66" t="inlineStr">
        <is>
          <t>B-0004</t>
        </is>
      </c>
      <c r="C11" s="66" t="inlineStr">
        <is>
          <t>Bharat Electric Co</t>
        </is>
      </c>
      <c r="D11" s="66" t="inlineStr">
        <is>
          <t>LED Bulb 9W</t>
        </is>
      </c>
      <c r="E11" s="67" t="n">
        <v>343</v>
      </c>
      <c r="F11" s="68" t="n">
        <v>61</v>
      </c>
    </row>
    <row r="12">
      <c r="A12" s="65" t="n">
        <v>46144</v>
      </c>
      <c r="B12" s="66" t="inlineStr">
        <is>
          <t>B-0005</t>
        </is>
      </c>
      <c r="C12" s="66" t="inlineStr">
        <is>
          <t>FMCG Distributors</t>
        </is>
      </c>
      <c r="D12" s="66" t="inlineStr">
        <is>
          <t>Tea Premium 1kg</t>
        </is>
      </c>
      <c r="E12" s="67" t="n">
        <v>51</v>
      </c>
      <c r="F12" s="68" t="n">
        <v>384</v>
      </c>
    </row>
    <row r="13">
      <c r="A13" s="65" t="n">
        <v>46144</v>
      </c>
      <c r="B13" s="66" t="inlineStr">
        <is>
          <t>B-0005</t>
        </is>
      </c>
      <c r="C13" s="66" t="inlineStr">
        <is>
          <t>FMCG Distributors</t>
        </is>
      </c>
      <c r="D13" s="66" t="inlineStr">
        <is>
          <t>Detergent 5kg</t>
        </is>
      </c>
      <c r="E13" s="67" t="n">
        <v>32</v>
      </c>
      <c r="F13" s="68" t="n">
        <v>513</v>
      </c>
    </row>
    <row r="14">
      <c r="A14" s="65" t="n">
        <v>46144</v>
      </c>
      <c r="B14" s="66" t="inlineStr">
        <is>
          <t>B-0006</t>
        </is>
      </c>
      <c r="C14" s="66" t="inlineStr">
        <is>
          <t>National Hardware Supply</t>
        </is>
      </c>
      <c r="D14" s="66" t="inlineStr">
        <is>
          <t>PVC Pipe 1in 6m</t>
        </is>
      </c>
      <c r="E14" s="67" t="n">
        <v>132</v>
      </c>
      <c r="F14" s="68" t="n">
        <v>216</v>
      </c>
    </row>
    <row r="15">
      <c r="A15" s="65" t="n">
        <v>46144</v>
      </c>
      <c r="B15" s="66" t="inlineStr">
        <is>
          <t>B-0006</t>
        </is>
      </c>
      <c r="C15" s="66" t="inlineStr">
        <is>
          <t>National Hardware Supply</t>
        </is>
      </c>
      <c r="D15" s="66" t="inlineStr">
        <is>
          <t>Cement 50kg</t>
        </is>
      </c>
      <c r="E15" s="67" t="n">
        <v>115</v>
      </c>
      <c r="F15" s="68" t="n">
        <v>343</v>
      </c>
    </row>
    <row r="16">
      <c r="A16" s="65" t="n">
        <v>46175</v>
      </c>
      <c r="B16" s="66" t="inlineStr">
        <is>
          <t>B-0007</t>
        </is>
      </c>
      <c r="C16" s="66" t="inlineStr">
        <is>
          <t>Agro Foods Pvt Ltd</t>
        </is>
      </c>
      <c r="D16" s="66" t="inlineStr">
        <is>
          <t>Refined Oil 15L</t>
        </is>
      </c>
      <c r="E16" s="67" t="n">
        <v>27</v>
      </c>
      <c r="F16" s="68" t="n">
        <v>1910</v>
      </c>
    </row>
    <row r="17">
      <c r="A17" s="65" t="n">
        <v>46175</v>
      </c>
      <c r="B17" s="66" t="inlineStr">
        <is>
          <t>B-0008</t>
        </is>
      </c>
      <c r="C17" s="66" t="inlineStr">
        <is>
          <t>Bharat Electric Co</t>
        </is>
      </c>
      <c r="D17" s="66" t="inlineStr">
        <is>
          <t>Copper Wire 90m</t>
        </is>
      </c>
      <c r="E17" s="67" t="n">
        <v>19</v>
      </c>
      <c r="F17" s="68" t="n">
        <v>2442</v>
      </c>
    </row>
    <row r="18">
      <c r="A18" s="65" t="n">
        <v>46175</v>
      </c>
      <c r="B18" s="66" t="inlineStr">
        <is>
          <t>B-0008</t>
        </is>
      </c>
      <c r="C18" s="66" t="inlineStr">
        <is>
          <t>Bharat Electric Co</t>
        </is>
      </c>
      <c r="D18" s="66" t="inlineStr">
        <is>
          <t>Ceiling Fan 1200mm</t>
        </is>
      </c>
      <c r="E18" s="67" t="n">
        <v>14</v>
      </c>
      <c r="F18" s="68" t="n">
        <v>1655</v>
      </c>
    </row>
    <row r="19">
      <c r="A19" s="65" t="n">
        <v>46175</v>
      </c>
      <c r="B19" s="66" t="inlineStr">
        <is>
          <t>B-0009</t>
        </is>
      </c>
      <c r="C19" s="66" t="inlineStr">
        <is>
          <t>National Hardware Supply</t>
        </is>
      </c>
      <c r="D19" s="66" t="inlineStr">
        <is>
          <t>PVC Pipe 1in 6m</t>
        </is>
      </c>
      <c r="E19" s="67" t="n">
        <v>122</v>
      </c>
      <c r="F19" s="68" t="n">
        <v>210</v>
      </c>
    </row>
    <row r="20">
      <c r="A20" s="65" t="n">
        <v>46205</v>
      </c>
      <c r="B20" s="66" t="inlineStr">
        <is>
          <t>B-0010</t>
        </is>
      </c>
      <c r="C20" s="66" t="inlineStr">
        <is>
          <t>Agro Foods Pvt Ltd</t>
        </is>
      </c>
      <c r="D20" s="66" t="inlineStr">
        <is>
          <t>Basmati Rice 25kg</t>
        </is>
      </c>
      <c r="E20" s="67" t="n">
        <v>24</v>
      </c>
      <c r="F20" s="68" t="n">
        <v>1671</v>
      </c>
    </row>
    <row r="21">
      <c r="A21" s="65" t="n">
        <v>46205</v>
      </c>
      <c r="B21" s="66" t="inlineStr">
        <is>
          <t>B-0011</t>
        </is>
      </c>
      <c r="C21" s="66" t="inlineStr">
        <is>
          <t>Bharat Electric Co</t>
        </is>
      </c>
      <c r="D21" s="66" t="inlineStr">
        <is>
          <t>LED Bulb 9W</t>
        </is>
      </c>
      <c r="E21" s="67" t="n">
        <v>212</v>
      </c>
      <c r="F21" s="68" t="n">
        <v>63</v>
      </c>
    </row>
    <row r="22">
      <c r="A22" s="65" t="n">
        <v>46205</v>
      </c>
      <c r="B22" s="66" t="inlineStr">
        <is>
          <t>B-0012</t>
        </is>
      </c>
      <c r="C22" s="66" t="inlineStr">
        <is>
          <t>FMCG Distributors</t>
        </is>
      </c>
      <c r="D22" s="66" t="inlineStr">
        <is>
          <t>Tea Premium 1kg</t>
        </is>
      </c>
      <c r="E22" s="67" t="n">
        <v>49</v>
      </c>
      <c r="F22" s="68" t="n">
        <v>377</v>
      </c>
      <c r="H22" s="66" t="inlineStr">
        <is>
          <t>Bank</t>
        </is>
      </c>
    </row>
    <row r="23">
      <c r="A23" s="65" t="n">
        <v>46236</v>
      </c>
      <c r="B23" s="66" t="inlineStr">
        <is>
          <t>B-0013</t>
        </is>
      </c>
      <c r="C23" s="66" t="inlineStr">
        <is>
          <t>Agro Foods Pvt Ltd</t>
        </is>
      </c>
      <c r="D23" s="66" t="inlineStr">
        <is>
          <t>Sugar 50kg</t>
        </is>
      </c>
      <c r="E23" s="67" t="n">
        <v>33</v>
      </c>
      <c r="F23" s="68" t="n">
        <v>2048</v>
      </c>
      <c r="H23" s="66" t="inlineStr">
        <is>
          <t>Bank</t>
        </is>
      </c>
    </row>
    <row r="24">
      <c r="A24" s="65" t="n">
        <v>46236</v>
      </c>
      <c r="B24" s="66" t="inlineStr">
        <is>
          <t>B-0014</t>
        </is>
      </c>
      <c r="C24" s="66" t="inlineStr">
        <is>
          <t>Bharat Electric Co</t>
        </is>
      </c>
      <c r="D24" s="66" t="inlineStr">
        <is>
          <t>Copper Wire 90m</t>
        </is>
      </c>
      <c r="E24" s="67" t="n">
        <v>12</v>
      </c>
      <c r="F24" s="68" t="n">
        <v>2447</v>
      </c>
    </row>
    <row r="25">
      <c r="A25" s="65" t="n">
        <v>46236</v>
      </c>
      <c r="B25" s="66" t="inlineStr">
        <is>
          <t>B-0014</t>
        </is>
      </c>
      <c r="C25" s="66" t="inlineStr">
        <is>
          <t>Bharat Electric Co</t>
        </is>
      </c>
      <c r="D25" s="66" t="inlineStr">
        <is>
          <t>Ceiling Fan 1200mm</t>
        </is>
      </c>
      <c r="E25" s="67" t="n">
        <v>13</v>
      </c>
      <c r="F25" s="68" t="n">
        <v>1645</v>
      </c>
    </row>
    <row r="26">
      <c r="A26" s="65" t="n">
        <v>46236</v>
      </c>
      <c r="B26" s="66" t="inlineStr">
        <is>
          <t>B-0015</t>
        </is>
      </c>
      <c r="C26" s="66" t="inlineStr">
        <is>
          <t>FMCG Distributors</t>
        </is>
      </c>
      <c r="D26" s="66" t="inlineStr">
        <is>
          <t>Detergent 5kg</t>
        </is>
      </c>
      <c r="E26" s="67" t="n">
        <v>59</v>
      </c>
      <c r="F26" s="68" t="n">
        <v>523</v>
      </c>
    </row>
    <row r="27">
      <c r="A27" s="65" t="n">
        <v>46236</v>
      </c>
      <c r="B27" s="66" t="inlineStr">
        <is>
          <t>B-0016</t>
        </is>
      </c>
      <c r="C27" s="66" t="inlineStr">
        <is>
          <t>National Hardware Supply</t>
        </is>
      </c>
      <c r="D27" s="66" t="inlineStr">
        <is>
          <t>PVC Pipe 1in 6m</t>
        </is>
      </c>
      <c r="E27" s="67" t="n">
        <v>125</v>
      </c>
      <c r="F27" s="68" t="n">
        <v>207</v>
      </c>
    </row>
    <row r="28">
      <c r="A28" s="65" t="n">
        <v>46267</v>
      </c>
      <c r="B28" s="66" t="inlineStr">
        <is>
          <t>B-0017</t>
        </is>
      </c>
      <c r="C28" s="66" t="inlineStr">
        <is>
          <t>Agro Foods Pvt Ltd</t>
        </is>
      </c>
      <c r="D28" s="66" t="inlineStr">
        <is>
          <t>Basmati Rice 25kg</t>
        </is>
      </c>
      <c r="E28" s="67" t="n">
        <v>29</v>
      </c>
      <c r="F28" s="68" t="n">
        <v>1648</v>
      </c>
    </row>
    <row r="29">
      <c r="A29" s="65" t="n">
        <v>46267</v>
      </c>
      <c r="B29" s="66" t="inlineStr">
        <is>
          <t>B-0017</t>
        </is>
      </c>
      <c r="C29" s="66" t="inlineStr">
        <is>
          <t>Agro Foods Pvt Ltd</t>
        </is>
      </c>
      <c r="D29" s="66" t="inlineStr">
        <is>
          <t>Refined Oil 15L</t>
        </is>
      </c>
      <c r="E29" s="67" t="n">
        <v>23</v>
      </c>
      <c r="F29" s="68" t="n">
        <v>1929</v>
      </c>
    </row>
    <row r="30">
      <c r="A30" s="65" t="n">
        <v>46267</v>
      </c>
      <c r="B30" s="66" t="inlineStr">
        <is>
          <t>B-0018</t>
        </is>
      </c>
      <c r="C30" s="66" t="inlineStr">
        <is>
          <t>Bharat Electric Co</t>
        </is>
      </c>
      <c r="D30" s="66" t="inlineStr">
        <is>
          <t>LED Bulb 9W</t>
        </is>
      </c>
      <c r="E30" s="67" t="n">
        <v>399</v>
      </c>
      <c r="F30" s="68" t="n">
        <v>62</v>
      </c>
    </row>
    <row r="31">
      <c r="A31" s="65" t="n">
        <v>46267</v>
      </c>
      <c r="B31" s="66" t="inlineStr">
        <is>
          <t>B-0019</t>
        </is>
      </c>
      <c r="C31" s="66" t="inlineStr">
        <is>
          <t>FMCG Distributors</t>
        </is>
      </c>
      <c r="D31" s="66" t="inlineStr">
        <is>
          <t>Tea Premium 1kg</t>
        </is>
      </c>
      <c r="E31" s="67" t="n">
        <v>55</v>
      </c>
      <c r="F31" s="68" t="n">
        <v>373</v>
      </c>
      <c r="H31" s="66" t="inlineStr">
        <is>
          <t>Bank</t>
        </is>
      </c>
    </row>
    <row r="32">
      <c r="A32" s="65" t="n">
        <v>46267</v>
      </c>
      <c r="B32" s="66" t="inlineStr">
        <is>
          <t>B-0019</t>
        </is>
      </c>
      <c r="C32" s="66" t="inlineStr">
        <is>
          <t>FMCG Distributors</t>
        </is>
      </c>
      <c r="D32" s="66" t="inlineStr">
        <is>
          <t>Toothpaste 150g x12</t>
        </is>
      </c>
      <c r="E32" s="67" t="n">
        <v>25</v>
      </c>
      <c r="F32" s="68" t="n">
        <v>900</v>
      </c>
      <c r="H32" s="66" t="inlineStr">
        <is>
          <t>Bank</t>
        </is>
      </c>
    </row>
    <row r="33">
      <c r="A33" s="65" t="n">
        <v>46297</v>
      </c>
      <c r="B33" s="66" t="inlineStr">
        <is>
          <t>B-0020</t>
        </is>
      </c>
      <c r="C33" s="66" t="inlineStr">
        <is>
          <t>Agro Foods Pvt Ltd</t>
        </is>
      </c>
      <c r="D33" s="66" t="inlineStr">
        <is>
          <t>Basmati Rice 25kg</t>
        </is>
      </c>
      <c r="E33" s="67" t="n">
        <v>22</v>
      </c>
      <c r="F33" s="68" t="n">
        <v>1649</v>
      </c>
    </row>
    <row r="34">
      <c r="A34" s="65" t="n">
        <v>46297</v>
      </c>
      <c r="B34" s="66" t="inlineStr">
        <is>
          <t>B-0021</t>
        </is>
      </c>
      <c r="C34" s="66" t="inlineStr">
        <is>
          <t>Bharat Electric Co</t>
        </is>
      </c>
      <c r="D34" s="66" t="inlineStr">
        <is>
          <t>Ceiling Fan 1200mm</t>
        </is>
      </c>
      <c r="E34" s="67" t="n">
        <v>13</v>
      </c>
      <c r="F34" s="68" t="n">
        <v>1634</v>
      </c>
      <c r="H34" s="66" t="inlineStr">
        <is>
          <t>Bank</t>
        </is>
      </c>
    </row>
    <row r="35">
      <c r="A35" s="65" t="n">
        <v>46297</v>
      </c>
      <c r="B35" s="66" t="inlineStr">
        <is>
          <t>B-0022</t>
        </is>
      </c>
      <c r="C35" s="66" t="inlineStr">
        <is>
          <t>FMCG Distributors</t>
        </is>
      </c>
      <c r="D35" s="66" t="inlineStr">
        <is>
          <t>Detergent 5kg</t>
        </is>
      </c>
      <c r="E35" s="67" t="n">
        <v>67</v>
      </c>
      <c r="F35" s="68" t="n">
        <v>521</v>
      </c>
    </row>
    <row r="36">
      <c r="A36" s="65" t="n">
        <v>46297</v>
      </c>
      <c r="B36" s="66" t="inlineStr">
        <is>
          <t>B-0022</t>
        </is>
      </c>
      <c r="C36" s="66" t="inlineStr">
        <is>
          <t>FMCG Distributors</t>
        </is>
      </c>
      <c r="D36" s="66" t="inlineStr">
        <is>
          <t>Toothpaste 150g x12</t>
        </is>
      </c>
      <c r="E36" s="67" t="n">
        <v>21</v>
      </c>
      <c r="F36" s="68" t="n">
        <v>889</v>
      </c>
    </row>
    <row r="37">
      <c r="A37" s="65" t="n">
        <v>46297</v>
      </c>
      <c r="B37" s="66" t="inlineStr">
        <is>
          <t>B-0023</t>
        </is>
      </c>
      <c r="C37" s="66" t="inlineStr">
        <is>
          <t>National Hardware Supply</t>
        </is>
      </c>
      <c r="D37" s="66" t="inlineStr">
        <is>
          <t>Cement 50kg</t>
        </is>
      </c>
      <c r="E37" s="67" t="n">
        <v>104</v>
      </c>
      <c r="F37" s="68" t="n">
        <v>347</v>
      </c>
    </row>
  </sheetData>
  <autoFilter ref="A4:S20004"/>
  <mergeCells count="2">
    <mergeCell ref="A2:S2"/>
    <mergeCell ref="A1:S1"/>
  </mergeCells>
  <conditionalFormatting sqref="I5:I20004">
    <cfRule type="cellIs" priority="1" operator="equal" dxfId="7">
      <formula>"PRO PLAN"</formula>
    </cfRule>
  </conditionalFormatting>
  <dataValidations count="5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M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0" customWidth="1" style="66" min="2" max="2"/>
    <col width="13" customWidth="1" style="66" min="3" max="3"/>
    <col width="22" customWidth="1" style="66" min="4" max="4"/>
    <col width="18" customWidth="1" style="66" min="5" max="5"/>
    <col width="9" customWidth="1" style="66" min="6" max="6"/>
    <col width="12" customWidth="1" style="68" min="7" max="7"/>
    <col width="26" customWidth="1" style="66" min="8" max="8"/>
    <col width="12" customWidth="1" style="71" min="9" max="9"/>
    <col width="12" customWidth="1" style="71" min="10" max="10"/>
    <col width="18" customWidth="1" style="70" min="11" max="11"/>
  </cols>
  <sheetData>
    <row r="1" ht="28" customHeight="1">
      <c r="A1" s="73" t="inlineStr">
        <is>
          <t>CASH &amp; BANK BOOK (FINANCE)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M1" s="74" t="inlineStr">
        <is>
          <t>« Home</t>
        </is>
      </c>
    </row>
    <row r="2">
      <c r="A2" s="3" t="inlineStr">
        <is>
          <t>Customer receipts, supplier payments, expenses, owner capital/drawings and transfers between accounts.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{=_xll.ST_CASHBOOK(...)} fills I:K</t>
        </is>
      </c>
      <c r="J3" s="76" t="n"/>
      <c r="K3" s="76" t="n"/>
    </row>
    <row r="4" ht="32" customHeight="1">
      <c r="A4" s="78" t="inlineStr">
        <is>
          <t>Date *</t>
        </is>
      </c>
      <c r="B4" s="78" t="inlineStr">
        <is>
          <t>Voucher No</t>
        </is>
      </c>
      <c r="C4" s="78" t="inlineStr">
        <is>
          <t>Type *</t>
        </is>
      </c>
      <c r="D4" s="78" t="inlineStr">
        <is>
          <t>Party (Receipt/Payment)</t>
        </is>
      </c>
      <c r="E4" s="78" t="inlineStr">
        <is>
          <t>Expense / Income Head</t>
        </is>
      </c>
      <c r="F4" s="78" t="inlineStr">
        <is>
          <t>Account *</t>
        </is>
      </c>
      <c r="G4" s="78" t="inlineStr">
        <is>
          <t>Amount (₹) *</t>
        </is>
      </c>
      <c r="H4" s="78" t="inlineStr">
        <is>
          <t>Reference / Notes</t>
        </is>
      </c>
      <c r="I4" s="79" t="inlineStr">
        <is>
          <t>Money In (₹)</t>
        </is>
      </c>
      <c r="J4" s="79" t="inlineStr">
        <is>
          <t>Money Out (₹)</t>
        </is>
      </c>
      <c r="K4" s="79" t="inlineStr">
        <is>
          <t>Check</t>
        </is>
      </c>
    </row>
    <row r="5">
      <c r="A5" s="65" t="n">
        <v>46117</v>
      </c>
      <c r="B5" s="66" t="inlineStr">
        <is>
          <t>V-0001</t>
        </is>
      </c>
      <c r="C5" s="66" t="inlineStr">
        <is>
          <t>Expense</t>
        </is>
      </c>
      <c r="E5" s="66" t="inlineStr">
        <is>
          <t>Rent</t>
        </is>
      </c>
      <c r="F5" s="66" t="inlineStr">
        <is>
          <t>Bank</t>
        </is>
      </c>
      <c r="G5" s="68" t="n">
        <v>9000</v>
      </c>
      <c r="I5" s="71">
        <f t="array" ref="I5:K20004">_xll.ST_CASHBOOK(IN_Items,IN_Parties,IN_Purchases,IN_Sales,IN_CashBook,IN_Adjust,IN_Settings)</f>
        <v/>
      </c>
    </row>
    <row r="6">
      <c r="A6" s="65" t="n">
        <v>46117</v>
      </c>
      <c r="B6" s="66" t="inlineStr">
        <is>
          <t>V-0002</t>
        </is>
      </c>
      <c r="C6" s="66" t="inlineStr">
        <is>
          <t>Expense</t>
        </is>
      </c>
      <c r="E6" s="66" t="inlineStr">
        <is>
          <t>Salary</t>
        </is>
      </c>
      <c r="F6" s="66" t="inlineStr">
        <is>
          <t>Bank</t>
        </is>
      </c>
      <c r="G6" s="68" t="n">
        <v>12000</v>
      </c>
    </row>
    <row r="7">
      <c r="A7" s="65" t="n">
        <v>46117</v>
      </c>
      <c r="B7" s="66" t="inlineStr">
        <is>
          <t>V-0003</t>
        </is>
      </c>
      <c r="C7" s="66" t="inlineStr">
        <is>
          <t>Expense</t>
        </is>
      </c>
      <c r="E7" s="66" t="inlineStr">
        <is>
          <t>Electricity</t>
        </is>
      </c>
      <c r="F7" s="66" t="inlineStr">
        <is>
          <t>UPI</t>
        </is>
      </c>
      <c r="G7" s="68" t="n">
        <v>5140</v>
      </c>
    </row>
    <row r="8">
      <c r="A8" s="65" t="n">
        <v>46117</v>
      </c>
      <c r="B8" s="66" t="inlineStr">
        <is>
          <t>V-0004</t>
        </is>
      </c>
      <c r="C8" s="66" t="inlineStr">
        <is>
          <t>Expense</t>
        </is>
      </c>
      <c r="E8" s="66" t="inlineStr">
        <is>
          <t>Transport / Freight</t>
        </is>
      </c>
      <c r="F8" s="66" t="inlineStr">
        <is>
          <t>Cash</t>
        </is>
      </c>
      <c r="G8" s="68" t="n">
        <v>6328</v>
      </c>
    </row>
    <row r="9">
      <c r="A9" s="65" t="n">
        <v>46117</v>
      </c>
      <c r="B9" s="66" t="inlineStr">
        <is>
          <t>V-0005</t>
        </is>
      </c>
      <c r="C9" s="66" t="inlineStr">
        <is>
          <t>Expense</t>
        </is>
      </c>
      <c r="E9" s="66" t="inlineStr">
        <is>
          <t>Telephone / Internet</t>
        </is>
      </c>
      <c r="F9" s="66" t="inlineStr">
        <is>
          <t>UPI</t>
        </is>
      </c>
      <c r="G9" s="68" t="n">
        <v>1199</v>
      </c>
    </row>
    <row r="10">
      <c r="A10" s="65" t="n">
        <v>46122</v>
      </c>
      <c r="B10" s="66" t="inlineStr">
        <is>
          <t>V-0006</t>
        </is>
      </c>
      <c r="C10" s="66" t="inlineStr">
        <is>
          <t>Receipt</t>
        </is>
      </c>
      <c r="D10" s="66" t="inlineStr">
        <is>
          <t>Sharma Kirana Store</t>
        </is>
      </c>
      <c r="F10" s="66" t="inlineStr">
        <is>
          <t>UPI</t>
        </is>
      </c>
      <c r="G10" s="68" t="n">
        <v>16200</v>
      </c>
      <c r="H10" s="66" t="inlineStr">
        <is>
          <t>NEFT/UPI</t>
        </is>
      </c>
    </row>
    <row r="11">
      <c r="A11" s="65" t="n">
        <v>46122</v>
      </c>
      <c r="B11" s="66" t="inlineStr">
        <is>
          <t>V-0007</t>
        </is>
      </c>
      <c r="C11" s="66" t="inlineStr">
        <is>
          <t>Receipt</t>
        </is>
      </c>
      <c r="D11" s="66" t="inlineStr">
        <is>
          <t>Mehta Constructions</t>
        </is>
      </c>
      <c r="F11" s="66" t="inlineStr">
        <is>
          <t>Bank</t>
        </is>
      </c>
      <c r="G11" s="68" t="n">
        <v>5000</v>
      </c>
      <c r="H11" s="66" t="inlineStr">
        <is>
          <t>NEFT/UPI</t>
        </is>
      </c>
    </row>
    <row r="12">
      <c r="A12" s="65" t="n">
        <v>46122</v>
      </c>
      <c r="B12" s="66" t="inlineStr">
        <is>
          <t>V-0008</t>
        </is>
      </c>
      <c r="C12" s="66" t="inlineStr">
        <is>
          <t>Receipt</t>
        </is>
      </c>
      <c r="D12" s="66" t="inlineStr">
        <is>
          <t>FMCG Distributors</t>
        </is>
      </c>
      <c r="F12" s="66" t="inlineStr">
        <is>
          <t>Bank</t>
        </is>
      </c>
      <c r="G12" s="68" t="n">
        <v>3700</v>
      </c>
      <c r="H12" s="66" t="inlineStr">
        <is>
          <t>NEFT/UPI</t>
        </is>
      </c>
    </row>
    <row r="13">
      <c r="A13" s="65" t="n">
        <v>46122</v>
      </c>
      <c r="B13" s="66" t="inlineStr">
        <is>
          <t>V-0009</t>
        </is>
      </c>
      <c r="C13" s="66" t="inlineStr">
        <is>
          <t>Payment</t>
        </is>
      </c>
      <c r="D13" s="66" t="inlineStr">
        <is>
          <t>Agro Foods Pvt Ltd</t>
        </is>
      </c>
      <c r="F13" s="66" t="inlineStr">
        <is>
          <t>Bank</t>
        </is>
      </c>
      <c r="G13" s="68" t="n">
        <v>15000</v>
      </c>
      <c r="H13" s="66" t="inlineStr">
        <is>
          <t>RTGS</t>
        </is>
      </c>
    </row>
    <row r="14">
      <c r="A14" s="65" t="n">
        <v>46122</v>
      </c>
      <c r="B14" s="66" t="inlineStr">
        <is>
          <t>V-0010</t>
        </is>
      </c>
      <c r="C14" s="66" t="inlineStr">
        <is>
          <t>Payment</t>
        </is>
      </c>
      <c r="D14" s="66" t="inlineStr">
        <is>
          <t>Bharat Electric Co</t>
        </is>
      </c>
      <c r="F14" s="66" t="inlineStr">
        <is>
          <t>Bank</t>
        </is>
      </c>
      <c r="G14" s="68" t="n">
        <v>53000</v>
      </c>
      <c r="H14" s="66" t="inlineStr">
        <is>
          <t>RTGS</t>
        </is>
      </c>
    </row>
    <row r="15">
      <c r="A15" s="65" t="n">
        <v>46122</v>
      </c>
      <c r="B15" s="66" t="inlineStr">
        <is>
          <t>V-0011</t>
        </is>
      </c>
      <c r="C15" s="66" t="inlineStr">
        <is>
          <t>Payment</t>
        </is>
      </c>
      <c r="D15" s="66" t="inlineStr">
        <is>
          <t>FMCG Distributors</t>
        </is>
      </c>
      <c r="F15" s="66" t="inlineStr">
        <is>
          <t>Bank</t>
        </is>
      </c>
      <c r="G15" s="68" t="n">
        <v>16000</v>
      </c>
      <c r="H15" s="66" t="inlineStr">
        <is>
          <t>RTGS</t>
        </is>
      </c>
    </row>
    <row r="16">
      <c r="A16" s="65" t="n">
        <v>46138</v>
      </c>
      <c r="B16" s="66" t="inlineStr">
        <is>
          <t>V-0012</t>
        </is>
      </c>
      <c r="C16" s="66" t="inlineStr">
        <is>
          <t>Transfer Out</t>
        </is>
      </c>
      <c r="F16" s="66" t="inlineStr">
        <is>
          <t>Cash</t>
        </is>
      </c>
      <c r="G16" s="68" t="n">
        <v>45000</v>
      </c>
      <c r="H16" s="66" t="inlineStr">
        <is>
          <t>Cash deposited to Bank</t>
        </is>
      </c>
    </row>
    <row r="17">
      <c r="A17" s="65" t="n">
        <v>46138</v>
      </c>
      <c r="B17" s="66" t="inlineStr">
        <is>
          <t>V-0012</t>
        </is>
      </c>
      <c r="C17" s="66" t="inlineStr">
        <is>
          <t>Transfer In</t>
        </is>
      </c>
      <c r="F17" s="66" t="inlineStr">
        <is>
          <t>Bank</t>
        </is>
      </c>
      <c r="G17" s="68" t="n">
        <v>45000</v>
      </c>
      <c r="H17" s="66" t="inlineStr">
        <is>
          <t>Cash deposited to Bank</t>
        </is>
      </c>
    </row>
    <row r="18">
      <c r="A18" s="65" t="n">
        <v>46138</v>
      </c>
      <c r="B18" s="66" t="inlineStr">
        <is>
          <t>V-0013</t>
        </is>
      </c>
      <c r="C18" s="66" t="inlineStr">
        <is>
          <t>Transfer Out</t>
        </is>
      </c>
      <c r="F18" s="66" t="inlineStr">
        <is>
          <t>UPI</t>
        </is>
      </c>
      <c r="G18" s="68" t="n">
        <v>31000</v>
      </c>
      <c r="H18" s="66" t="inlineStr">
        <is>
          <t>UPI deposited to Bank</t>
        </is>
      </c>
    </row>
    <row r="19">
      <c r="A19" s="65" t="n">
        <v>46138</v>
      </c>
      <c r="B19" s="66" t="inlineStr">
        <is>
          <t>V-0013</t>
        </is>
      </c>
      <c r="C19" s="66" t="inlineStr">
        <is>
          <t>Transfer In</t>
        </is>
      </c>
      <c r="F19" s="66" t="inlineStr">
        <is>
          <t>Bank</t>
        </is>
      </c>
      <c r="G19" s="68" t="n">
        <v>31000</v>
      </c>
      <c r="H19" s="66" t="inlineStr">
        <is>
          <t>UPI deposited to Bank</t>
        </is>
      </c>
    </row>
    <row r="20">
      <c r="A20" s="65" t="n">
        <v>46147</v>
      </c>
      <c r="B20" s="66" t="inlineStr">
        <is>
          <t>V-0014</t>
        </is>
      </c>
      <c r="C20" s="66" t="inlineStr">
        <is>
          <t>Expense</t>
        </is>
      </c>
      <c r="E20" s="66" t="inlineStr">
        <is>
          <t>Rent</t>
        </is>
      </c>
      <c r="F20" s="66" t="inlineStr">
        <is>
          <t>Bank</t>
        </is>
      </c>
      <c r="G20" s="68" t="n">
        <v>9000</v>
      </c>
    </row>
    <row r="21">
      <c r="A21" s="65" t="n">
        <v>46147</v>
      </c>
      <c r="B21" s="66" t="inlineStr">
        <is>
          <t>V-0015</t>
        </is>
      </c>
      <c r="C21" s="66" t="inlineStr">
        <is>
          <t>Expense</t>
        </is>
      </c>
      <c r="E21" s="66" t="inlineStr">
        <is>
          <t>Salary</t>
        </is>
      </c>
      <c r="F21" s="66" t="inlineStr">
        <is>
          <t>Bank</t>
        </is>
      </c>
      <c r="G21" s="68" t="n">
        <v>12000</v>
      </c>
    </row>
    <row r="22">
      <c r="A22" s="65" t="n">
        <v>46147</v>
      </c>
      <c r="B22" s="66" t="inlineStr">
        <is>
          <t>V-0016</t>
        </is>
      </c>
      <c r="C22" s="66" t="inlineStr">
        <is>
          <t>Expense</t>
        </is>
      </c>
      <c r="E22" s="66" t="inlineStr">
        <is>
          <t>Electricity</t>
        </is>
      </c>
      <c r="F22" s="66" t="inlineStr">
        <is>
          <t>UPI</t>
        </is>
      </c>
      <c r="G22" s="68" t="n">
        <v>4625</v>
      </c>
    </row>
    <row r="23">
      <c r="A23" s="65" t="n">
        <v>46147</v>
      </c>
      <c r="B23" s="66" t="inlineStr">
        <is>
          <t>V-0017</t>
        </is>
      </c>
      <c r="C23" s="66" t="inlineStr">
        <is>
          <t>Expense</t>
        </is>
      </c>
      <c r="E23" s="66" t="inlineStr">
        <is>
          <t>Transport / Freight</t>
        </is>
      </c>
      <c r="F23" s="66" t="inlineStr">
        <is>
          <t>Cash</t>
        </is>
      </c>
      <c r="G23" s="68" t="n">
        <v>6639</v>
      </c>
    </row>
    <row r="24">
      <c r="A24" s="65" t="n">
        <v>46147</v>
      </c>
      <c r="B24" s="66" t="inlineStr">
        <is>
          <t>V-0018</t>
        </is>
      </c>
      <c r="C24" s="66" t="inlineStr">
        <is>
          <t>Expense</t>
        </is>
      </c>
      <c r="E24" s="66" t="inlineStr">
        <is>
          <t>Telephone / Internet</t>
        </is>
      </c>
      <c r="F24" s="66" t="inlineStr">
        <is>
          <t>UPI</t>
        </is>
      </c>
      <c r="G24" s="68" t="n">
        <v>1199</v>
      </c>
    </row>
    <row r="25">
      <c r="A25" s="65" t="n">
        <v>46152</v>
      </c>
      <c r="B25" s="66" t="inlineStr">
        <is>
          <t>V-0019</t>
        </is>
      </c>
      <c r="C25" s="66" t="inlineStr">
        <is>
          <t>Receipt</t>
        </is>
      </c>
      <c r="D25" s="66" t="inlineStr">
        <is>
          <t>Sharma Kirana Store</t>
        </is>
      </c>
      <c r="F25" s="66" t="inlineStr">
        <is>
          <t>UPI</t>
        </is>
      </c>
      <c r="G25" s="68" t="n">
        <v>9300</v>
      </c>
      <c r="H25" s="66" t="inlineStr">
        <is>
          <t>NEFT/UPI</t>
        </is>
      </c>
    </row>
    <row r="26">
      <c r="A26" s="65" t="n">
        <v>46152</v>
      </c>
      <c r="B26" s="66" t="inlineStr">
        <is>
          <t>V-0020</t>
        </is>
      </c>
      <c r="C26" s="66" t="inlineStr">
        <is>
          <t>Receipt</t>
        </is>
      </c>
      <c r="D26" s="66" t="inlineStr">
        <is>
          <t>Gupta Electricals</t>
        </is>
      </c>
      <c r="F26" s="66" t="inlineStr">
        <is>
          <t>Bank</t>
        </is>
      </c>
      <c r="G26" s="68" t="n">
        <v>42000</v>
      </c>
      <c r="H26" s="66" t="inlineStr">
        <is>
          <t>NEFT/UPI</t>
        </is>
      </c>
    </row>
    <row r="27">
      <c r="A27" s="65" t="n">
        <v>46152</v>
      </c>
      <c r="B27" s="66" t="inlineStr">
        <is>
          <t>V-0021</t>
        </is>
      </c>
      <c r="C27" s="66" t="inlineStr">
        <is>
          <t>Receipt</t>
        </is>
      </c>
      <c r="D27" s="66" t="inlineStr">
        <is>
          <t>Delhi Hardware Mart</t>
        </is>
      </c>
      <c r="F27" s="66" t="inlineStr">
        <is>
          <t>UPI</t>
        </is>
      </c>
      <c r="G27" s="68" t="n">
        <v>5900</v>
      </c>
      <c r="H27" s="66" t="inlineStr">
        <is>
          <t>NEFT/UPI</t>
        </is>
      </c>
    </row>
    <row r="28">
      <c r="A28" s="65" t="n">
        <v>46152</v>
      </c>
      <c r="B28" s="66" t="inlineStr">
        <is>
          <t>V-0022</t>
        </is>
      </c>
      <c r="C28" s="66" t="inlineStr">
        <is>
          <t>Receipt</t>
        </is>
      </c>
      <c r="D28" s="66" t="inlineStr">
        <is>
          <t>Mehta Constructions</t>
        </is>
      </c>
      <c r="F28" s="66" t="inlineStr">
        <is>
          <t>Bank</t>
        </is>
      </c>
      <c r="G28" s="68" t="n">
        <v>16300</v>
      </c>
      <c r="H28" s="66" t="inlineStr">
        <is>
          <t>NEFT/UPI</t>
        </is>
      </c>
    </row>
    <row r="29">
      <c r="A29" s="65" t="n">
        <v>46152</v>
      </c>
      <c r="B29" s="66" t="inlineStr">
        <is>
          <t>V-0023</t>
        </is>
      </c>
      <c r="C29" s="66" t="inlineStr">
        <is>
          <t>Receipt</t>
        </is>
      </c>
      <c r="D29" s="66" t="inlineStr">
        <is>
          <t>FMCG Distributors</t>
        </is>
      </c>
      <c r="F29" s="66" t="inlineStr">
        <is>
          <t>UPI</t>
        </is>
      </c>
      <c r="G29" s="68" t="n">
        <v>10600</v>
      </c>
      <c r="H29" s="66" t="inlineStr">
        <is>
          <t>NEFT/UPI</t>
        </is>
      </c>
    </row>
    <row r="30">
      <c r="A30" s="65" t="n">
        <v>46152</v>
      </c>
      <c r="B30" s="66" t="inlineStr">
        <is>
          <t>V-0024</t>
        </is>
      </c>
      <c r="C30" s="66" t="inlineStr">
        <is>
          <t>Payment</t>
        </is>
      </c>
      <c r="D30" s="66" t="inlineStr">
        <is>
          <t>Agro Foods Pvt Ltd</t>
        </is>
      </c>
      <c r="F30" s="66" t="inlineStr">
        <is>
          <t>Bank</t>
        </is>
      </c>
      <c r="G30" s="68" t="n">
        <v>141000</v>
      </c>
      <c r="H30" s="66" t="inlineStr">
        <is>
          <t>RTGS</t>
        </is>
      </c>
    </row>
    <row r="31">
      <c r="A31" s="65" t="n">
        <v>46152</v>
      </c>
      <c r="B31" s="66" t="inlineStr">
        <is>
          <t>V-0025</t>
        </is>
      </c>
      <c r="C31" s="66" t="inlineStr">
        <is>
          <t>Payment</t>
        </is>
      </c>
      <c r="D31" s="66" t="inlineStr">
        <is>
          <t>Bharat Electric Co</t>
        </is>
      </c>
      <c r="F31" s="66" t="inlineStr">
        <is>
          <t>Bank</t>
        </is>
      </c>
      <c r="G31" s="68" t="n">
        <v>40000</v>
      </c>
      <c r="H31" s="66" t="inlineStr">
        <is>
          <t>RTGS</t>
        </is>
      </c>
    </row>
    <row r="32">
      <c r="A32" s="65" t="n">
        <v>46152</v>
      </c>
      <c r="B32" s="66" t="inlineStr">
        <is>
          <t>V-0026</t>
        </is>
      </c>
      <c r="C32" s="66" t="inlineStr">
        <is>
          <t>Payment</t>
        </is>
      </c>
      <c r="D32" s="66" t="inlineStr">
        <is>
          <t>FMCG Distributors</t>
        </is>
      </c>
      <c r="F32" s="66" t="inlineStr">
        <is>
          <t>Bank</t>
        </is>
      </c>
      <c r="G32" s="68" t="n">
        <v>33000</v>
      </c>
      <c r="H32" s="66" t="inlineStr">
        <is>
          <t>RTGS</t>
        </is>
      </c>
    </row>
    <row r="33">
      <c r="A33" s="65" t="n">
        <v>46152</v>
      </c>
      <c r="B33" s="66" t="inlineStr">
        <is>
          <t>V-0027</t>
        </is>
      </c>
      <c r="C33" s="66" t="inlineStr">
        <is>
          <t>Payment</t>
        </is>
      </c>
      <c r="D33" s="66" t="inlineStr">
        <is>
          <t>National Hardware Supply</t>
        </is>
      </c>
      <c r="F33" s="66" t="inlineStr">
        <is>
          <t>Bank</t>
        </is>
      </c>
      <c r="G33" s="68" t="n">
        <v>51000</v>
      </c>
      <c r="H33" s="66" t="inlineStr">
        <is>
          <t>RTGS</t>
        </is>
      </c>
    </row>
    <row r="34">
      <c r="A34" s="65" t="n">
        <v>46168</v>
      </c>
      <c r="B34" s="66" t="inlineStr">
        <is>
          <t>V-0028</t>
        </is>
      </c>
      <c r="C34" s="66" t="inlineStr">
        <is>
          <t>Transfer Out</t>
        </is>
      </c>
      <c r="F34" s="66" t="inlineStr">
        <is>
          <t>Cash</t>
        </is>
      </c>
      <c r="G34" s="68" t="n">
        <v>71000</v>
      </c>
      <c r="H34" s="66" t="inlineStr">
        <is>
          <t>Cash deposited to Bank</t>
        </is>
      </c>
    </row>
    <row r="35">
      <c r="A35" s="65" t="n">
        <v>46168</v>
      </c>
      <c r="B35" s="66" t="inlineStr">
        <is>
          <t>V-0028</t>
        </is>
      </c>
      <c r="C35" s="66" t="inlineStr">
        <is>
          <t>Transfer In</t>
        </is>
      </c>
      <c r="F35" s="66" t="inlineStr">
        <is>
          <t>Bank</t>
        </is>
      </c>
      <c r="G35" s="68" t="n">
        <v>71000</v>
      </c>
      <c r="H35" s="66" t="inlineStr">
        <is>
          <t>Cash deposited to Bank</t>
        </is>
      </c>
    </row>
    <row r="36">
      <c r="A36" s="65" t="n">
        <v>46168</v>
      </c>
      <c r="B36" s="66" t="inlineStr">
        <is>
          <t>V-0029</t>
        </is>
      </c>
      <c r="C36" s="66" t="inlineStr">
        <is>
          <t>Transfer Out</t>
        </is>
      </c>
      <c r="F36" s="66" t="inlineStr">
        <is>
          <t>UPI</t>
        </is>
      </c>
      <c r="G36" s="68" t="n">
        <v>49000</v>
      </c>
      <c r="H36" s="66" t="inlineStr">
        <is>
          <t>UPI deposited to Bank</t>
        </is>
      </c>
    </row>
    <row r="37">
      <c r="A37" s="65" t="n">
        <v>46168</v>
      </c>
      <c r="B37" s="66" t="inlineStr">
        <is>
          <t>V-0029</t>
        </is>
      </c>
      <c r="C37" s="66" t="inlineStr">
        <is>
          <t>Transfer In</t>
        </is>
      </c>
      <c r="F37" s="66" t="inlineStr">
        <is>
          <t>Bank</t>
        </is>
      </c>
      <c r="G37" s="68" t="n">
        <v>49000</v>
      </c>
      <c r="H37" s="66" t="inlineStr">
        <is>
          <t>UPI deposited to Bank</t>
        </is>
      </c>
    </row>
    <row r="38">
      <c r="A38" s="65" t="n">
        <v>46178</v>
      </c>
      <c r="B38" s="66" t="inlineStr">
        <is>
          <t>V-0030</t>
        </is>
      </c>
      <c r="C38" s="66" t="inlineStr">
        <is>
          <t>Expense</t>
        </is>
      </c>
      <c r="E38" s="66" t="inlineStr">
        <is>
          <t>Rent</t>
        </is>
      </c>
      <c r="F38" s="66" t="inlineStr">
        <is>
          <t>Bank</t>
        </is>
      </c>
      <c r="G38" s="68" t="n">
        <v>9000</v>
      </c>
    </row>
    <row r="39">
      <c r="A39" s="65" t="n">
        <v>46178</v>
      </c>
      <c r="B39" s="66" t="inlineStr">
        <is>
          <t>V-0031</t>
        </is>
      </c>
      <c r="C39" s="66" t="inlineStr">
        <is>
          <t>Expense</t>
        </is>
      </c>
      <c r="E39" s="66" t="inlineStr">
        <is>
          <t>Salary</t>
        </is>
      </c>
      <c r="F39" s="66" t="inlineStr">
        <is>
          <t>Bank</t>
        </is>
      </c>
      <c r="G39" s="68" t="n">
        <v>12000</v>
      </c>
    </row>
    <row r="40">
      <c r="A40" s="65" t="n">
        <v>46178</v>
      </c>
      <c r="B40" s="66" t="inlineStr">
        <is>
          <t>V-0032</t>
        </is>
      </c>
      <c r="C40" s="66" t="inlineStr">
        <is>
          <t>Expense</t>
        </is>
      </c>
      <c r="E40" s="66" t="inlineStr">
        <is>
          <t>Electricity</t>
        </is>
      </c>
      <c r="F40" s="66" t="inlineStr">
        <is>
          <t>UPI</t>
        </is>
      </c>
      <c r="G40" s="68" t="n">
        <v>3733</v>
      </c>
    </row>
    <row r="41">
      <c r="A41" s="65" t="n">
        <v>46178</v>
      </c>
      <c r="B41" s="66" t="inlineStr">
        <is>
          <t>V-0033</t>
        </is>
      </c>
      <c r="C41" s="66" t="inlineStr">
        <is>
          <t>Expense</t>
        </is>
      </c>
      <c r="E41" s="66" t="inlineStr">
        <is>
          <t>Transport / Freight</t>
        </is>
      </c>
      <c r="F41" s="66" t="inlineStr">
        <is>
          <t>Cash</t>
        </is>
      </c>
      <c r="G41" s="68" t="n">
        <v>5186</v>
      </c>
    </row>
    <row r="42">
      <c r="A42" s="65" t="n">
        <v>46178</v>
      </c>
      <c r="B42" s="66" t="inlineStr">
        <is>
          <t>V-0034</t>
        </is>
      </c>
      <c r="C42" s="66" t="inlineStr">
        <is>
          <t>Expense</t>
        </is>
      </c>
      <c r="E42" s="66" t="inlineStr">
        <is>
          <t>Telephone / Internet</t>
        </is>
      </c>
      <c r="F42" s="66" t="inlineStr">
        <is>
          <t>UPI</t>
        </is>
      </c>
      <c r="G42" s="68" t="n">
        <v>1199</v>
      </c>
    </row>
    <row r="43">
      <c r="A43" s="65" t="n">
        <v>46183</v>
      </c>
      <c r="B43" s="66" t="inlineStr">
        <is>
          <t>V-0035</t>
        </is>
      </c>
      <c r="C43" s="66" t="inlineStr">
        <is>
          <t>Receipt</t>
        </is>
      </c>
      <c r="D43" s="66" t="inlineStr">
        <is>
          <t>Sharma Kirana Store</t>
        </is>
      </c>
      <c r="F43" s="66" t="inlineStr">
        <is>
          <t>Bank</t>
        </is>
      </c>
      <c r="G43" s="68" t="n">
        <v>22400</v>
      </c>
      <c r="H43" s="66" t="inlineStr">
        <is>
          <t>NEFT/UPI</t>
        </is>
      </c>
    </row>
    <row r="44">
      <c r="A44" s="65" t="n">
        <v>46183</v>
      </c>
      <c r="B44" s="66" t="inlineStr">
        <is>
          <t>V-0036</t>
        </is>
      </c>
      <c r="C44" s="66" t="inlineStr">
        <is>
          <t>Receipt</t>
        </is>
      </c>
      <c r="D44" s="66" t="inlineStr">
        <is>
          <t>Gupta Electricals</t>
        </is>
      </c>
      <c r="F44" s="66" t="inlineStr">
        <is>
          <t>Bank</t>
        </is>
      </c>
      <c r="G44" s="68" t="n">
        <v>20600</v>
      </c>
      <c r="H44" s="66" t="inlineStr">
        <is>
          <t>NEFT/UPI</t>
        </is>
      </c>
    </row>
    <row r="45">
      <c r="A45" s="65" t="n">
        <v>46183</v>
      </c>
      <c r="B45" s="66" t="inlineStr">
        <is>
          <t>V-0037</t>
        </is>
      </c>
      <c r="C45" s="66" t="inlineStr">
        <is>
          <t>Receipt</t>
        </is>
      </c>
      <c r="D45" s="66" t="inlineStr">
        <is>
          <t>Delhi Hardware Mart</t>
        </is>
      </c>
      <c r="F45" s="66" t="inlineStr">
        <is>
          <t>Bank</t>
        </is>
      </c>
      <c r="G45" s="68" t="n">
        <v>10600</v>
      </c>
      <c r="H45" s="66" t="inlineStr">
        <is>
          <t>NEFT/UPI</t>
        </is>
      </c>
    </row>
    <row r="46">
      <c r="A46" s="65" t="n">
        <v>46183</v>
      </c>
      <c r="B46" s="66" t="inlineStr">
        <is>
          <t>V-0038</t>
        </is>
      </c>
      <c r="C46" s="66" t="inlineStr">
        <is>
          <t>Receipt</t>
        </is>
      </c>
      <c r="D46" s="66" t="inlineStr">
        <is>
          <t>Mehta Constructions</t>
        </is>
      </c>
      <c r="F46" s="66" t="inlineStr">
        <is>
          <t>Bank</t>
        </is>
      </c>
      <c r="G46" s="68" t="n">
        <v>16800</v>
      </c>
      <c r="H46" s="66" t="inlineStr">
        <is>
          <t>NEFT/UPI</t>
        </is>
      </c>
    </row>
    <row r="47">
      <c r="A47" s="65" t="n">
        <v>46183</v>
      </c>
      <c r="B47" s="66" t="inlineStr">
        <is>
          <t>V-0039</t>
        </is>
      </c>
      <c r="C47" s="66" t="inlineStr">
        <is>
          <t>Receipt</t>
        </is>
      </c>
      <c r="D47" s="66" t="inlineStr">
        <is>
          <t>FMCG Distributors</t>
        </is>
      </c>
      <c r="F47" s="66" t="inlineStr">
        <is>
          <t>Bank</t>
        </is>
      </c>
      <c r="G47" s="68" t="n">
        <v>12800</v>
      </c>
      <c r="H47" s="66" t="inlineStr">
        <is>
          <t>NEFT/UPI</t>
        </is>
      </c>
    </row>
    <row r="48">
      <c r="A48" s="65" t="n">
        <v>46183</v>
      </c>
      <c r="B48" s="66" t="inlineStr">
        <is>
          <t>V-0040</t>
        </is>
      </c>
      <c r="C48" s="66" t="inlineStr">
        <is>
          <t>Payment</t>
        </is>
      </c>
      <c r="D48" s="66" t="inlineStr">
        <is>
          <t>Agro Foods Pvt Ltd</t>
        </is>
      </c>
      <c r="F48" s="66" t="inlineStr">
        <is>
          <t>Bank</t>
        </is>
      </c>
      <c r="G48" s="68" t="n">
        <v>66000</v>
      </c>
      <c r="H48" s="66" t="inlineStr">
        <is>
          <t>RTGS</t>
        </is>
      </c>
    </row>
    <row r="49">
      <c r="A49" s="65" t="n">
        <v>46183</v>
      </c>
      <c r="B49" s="66" t="inlineStr">
        <is>
          <t>V-0041</t>
        </is>
      </c>
      <c r="C49" s="66" t="inlineStr">
        <is>
          <t>Payment</t>
        </is>
      </c>
      <c r="D49" s="66" t="inlineStr">
        <is>
          <t>Bharat Electric Co</t>
        </is>
      </c>
      <c r="F49" s="66" t="inlineStr">
        <is>
          <t>Bank</t>
        </is>
      </c>
      <c r="G49" s="68" t="n">
        <v>61000</v>
      </c>
      <c r="H49" s="66" t="inlineStr">
        <is>
          <t>RTGS</t>
        </is>
      </c>
    </row>
    <row r="50">
      <c r="A50" s="65" t="n">
        <v>46183</v>
      </c>
      <c r="B50" s="66" t="inlineStr">
        <is>
          <t>V-0042</t>
        </is>
      </c>
      <c r="C50" s="66" t="inlineStr">
        <is>
          <t>Payment</t>
        </is>
      </c>
      <c r="D50" s="66" t="inlineStr">
        <is>
          <t>FMCG Distributors</t>
        </is>
      </c>
      <c r="F50" s="66" t="inlineStr">
        <is>
          <t>Bank</t>
        </is>
      </c>
      <c r="G50" s="68" t="n">
        <v>10000</v>
      </c>
      <c r="H50" s="66" t="inlineStr">
        <is>
          <t>RTGS</t>
        </is>
      </c>
    </row>
    <row r="51">
      <c r="A51" s="65" t="n">
        <v>46183</v>
      </c>
      <c r="B51" s="66" t="inlineStr">
        <is>
          <t>V-0043</t>
        </is>
      </c>
      <c r="C51" s="66" t="inlineStr">
        <is>
          <t>Payment</t>
        </is>
      </c>
      <c r="D51" s="66" t="inlineStr">
        <is>
          <t>National Hardware Supply</t>
        </is>
      </c>
      <c r="F51" s="66" t="inlineStr">
        <is>
          <t>Bank</t>
        </is>
      </c>
      <c r="G51" s="68" t="n">
        <v>45000</v>
      </c>
      <c r="H51" s="66" t="inlineStr">
        <is>
          <t>RTGS</t>
        </is>
      </c>
    </row>
    <row r="52">
      <c r="A52" s="65" t="n">
        <v>46199</v>
      </c>
      <c r="B52" s="66" t="inlineStr">
        <is>
          <t>V-0044</t>
        </is>
      </c>
      <c r="C52" s="66" t="inlineStr">
        <is>
          <t>Transfer Out</t>
        </is>
      </c>
      <c r="F52" s="66" t="inlineStr">
        <is>
          <t>Cash</t>
        </is>
      </c>
      <c r="G52" s="68" t="n">
        <v>69000</v>
      </c>
      <c r="H52" s="66" t="inlineStr">
        <is>
          <t>Cash deposited to Bank</t>
        </is>
      </c>
    </row>
    <row r="53">
      <c r="A53" s="65" t="n">
        <v>46199</v>
      </c>
      <c r="B53" s="66" t="inlineStr">
        <is>
          <t>V-0044</t>
        </is>
      </c>
      <c r="C53" s="66" t="inlineStr">
        <is>
          <t>Transfer In</t>
        </is>
      </c>
      <c r="F53" s="66" t="inlineStr">
        <is>
          <t>Bank</t>
        </is>
      </c>
      <c r="G53" s="68" t="n">
        <v>69000</v>
      </c>
      <c r="H53" s="66" t="inlineStr">
        <is>
          <t>Cash deposited to Bank</t>
        </is>
      </c>
    </row>
    <row r="54">
      <c r="A54" s="65" t="n">
        <v>46199</v>
      </c>
      <c r="B54" s="66" t="inlineStr">
        <is>
          <t>V-0045</t>
        </is>
      </c>
      <c r="C54" s="66" t="inlineStr">
        <is>
          <t>Transfer Out</t>
        </is>
      </c>
      <c r="F54" s="66" t="inlineStr">
        <is>
          <t>UPI</t>
        </is>
      </c>
      <c r="G54" s="68" t="n">
        <v>13000</v>
      </c>
      <c r="H54" s="66" t="inlineStr">
        <is>
          <t>UPI deposited to Bank</t>
        </is>
      </c>
    </row>
    <row r="55">
      <c r="A55" s="65" t="n">
        <v>46199</v>
      </c>
      <c r="B55" s="66" t="inlineStr">
        <is>
          <t>V-0045</t>
        </is>
      </c>
      <c r="C55" s="66" t="inlineStr">
        <is>
          <t>Transfer In</t>
        </is>
      </c>
      <c r="F55" s="66" t="inlineStr">
        <is>
          <t>Bank</t>
        </is>
      </c>
      <c r="G55" s="68" t="n">
        <v>13000</v>
      </c>
      <c r="H55" s="66" t="inlineStr">
        <is>
          <t>UPI deposited to Bank</t>
        </is>
      </c>
    </row>
    <row r="56">
      <c r="A56" s="65" t="n">
        <v>46208</v>
      </c>
      <c r="B56" s="66" t="inlineStr">
        <is>
          <t>V-0046</t>
        </is>
      </c>
      <c r="C56" s="66" t="inlineStr">
        <is>
          <t>Expense</t>
        </is>
      </c>
      <c r="E56" s="66" t="inlineStr">
        <is>
          <t>Rent</t>
        </is>
      </c>
      <c r="F56" s="66" t="inlineStr">
        <is>
          <t>Bank</t>
        </is>
      </c>
      <c r="G56" s="68" t="n">
        <v>9000</v>
      </c>
    </row>
    <row r="57">
      <c r="A57" s="65" t="n">
        <v>46208</v>
      </c>
      <c r="B57" s="66" t="inlineStr">
        <is>
          <t>V-0047</t>
        </is>
      </c>
      <c r="C57" s="66" t="inlineStr">
        <is>
          <t>Expense</t>
        </is>
      </c>
      <c r="E57" s="66" t="inlineStr">
        <is>
          <t>Salary</t>
        </is>
      </c>
      <c r="F57" s="66" t="inlineStr">
        <is>
          <t>Bank</t>
        </is>
      </c>
      <c r="G57" s="68" t="n">
        <v>12000</v>
      </c>
    </row>
    <row r="58">
      <c r="A58" s="65" t="n">
        <v>46208</v>
      </c>
      <c r="B58" s="66" t="inlineStr">
        <is>
          <t>V-0048</t>
        </is>
      </c>
      <c r="C58" s="66" t="inlineStr">
        <is>
          <t>Expense</t>
        </is>
      </c>
      <c r="E58" s="66" t="inlineStr">
        <is>
          <t>Electricity</t>
        </is>
      </c>
      <c r="F58" s="66" t="inlineStr">
        <is>
          <t>UPI</t>
        </is>
      </c>
      <c r="G58" s="68" t="n">
        <v>3720</v>
      </c>
    </row>
    <row r="59">
      <c r="A59" s="65" t="n">
        <v>46208</v>
      </c>
      <c r="B59" s="66" t="inlineStr">
        <is>
          <t>V-0049</t>
        </is>
      </c>
      <c r="C59" s="66" t="inlineStr">
        <is>
          <t>Expense</t>
        </is>
      </c>
      <c r="E59" s="66" t="inlineStr">
        <is>
          <t>Transport / Freight</t>
        </is>
      </c>
      <c r="F59" s="66" t="inlineStr">
        <is>
          <t>Cash</t>
        </is>
      </c>
      <c r="G59" s="68" t="n">
        <v>6993</v>
      </c>
    </row>
    <row r="60">
      <c r="A60" s="65" t="n">
        <v>46208</v>
      </c>
      <c r="B60" s="66" t="inlineStr">
        <is>
          <t>V-0050</t>
        </is>
      </c>
      <c r="C60" s="66" t="inlineStr">
        <is>
          <t>Expense</t>
        </is>
      </c>
      <c r="E60" s="66" t="inlineStr">
        <is>
          <t>Telephone / Internet</t>
        </is>
      </c>
      <c r="F60" s="66" t="inlineStr">
        <is>
          <t>UPI</t>
        </is>
      </c>
      <c r="G60" s="68" t="n">
        <v>1199</v>
      </c>
    </row>
    <row r="61">
      <c r="A61" s="65" t="n">
        <v>46213</v>
      </c>
      <c r="B61" s="66" t="inlineStr">
        <is>
          <t>V-0051</t>
        </is>
      </c>
      <c r="C61" s="66" t="inlineStr">
        <is>
          <t>Receipt</t>
        </is>
      </c>
      <c r="D61" s="66" t="inlineStr">
        <is>
          <t>Sharma Kirana Store</t>
        </is>
      </c>
      <c r="F61" s="66" t="inlineStr">
        <is>
          <t>UPI</t>
        </is>
      </c>
      <c r="G61" s="68" t="n">
        <v>18300</v>
      </c>
      <c r="H61" s="66" t="inlineStr">
        <is>
          <t>NEFT/UPI</t>
        </is>
      </c>
    </row>
    <row r="62">
      <c r="A62" s="65" t="n">
        <v>46213</v>
      </c>
      <c r="B62" s="66" t="inlineStr">
        <is>
          <t>V-0052</t>
        </is>
      </c>
      <c r="C62" s="66" t="inlineStr">
        <is>
          <t>Receipt</t>
        </is>
      </c>
      <c r="D62" s="66" t="inlineStr">
        <is>
          <t>Gupta Electricals</t>
        </is>
      </c>
      <c r="F62" s="66" t="inlineStr">
        <is>
          <t>Bank</t>
        </is>
      </c>
      <c r="G62" s="68" t="n">
        <v>24700</v>
      </c>
      <c r="H62" s="66" t="inlineStr">
        <is>
          <t>NEFT/UPI</t>
        </is>
      </c>
    </row>
    <row r="63">
      <c r="A63" s="65" t="n">
        <v>46213</v>
      </c>
      <c r="B63" s="66" t="inlineStr">
        <is>
          <t>V-0053</t>
        </is>
      </c>
      <c r="C63" s="66" t="inlineStr">
        <is>
          <t>Receipt</t>
        </is>
      </c>
      <c r="D63" s="66" t="inlineStr">
        <is>
          <t>Delhi Hardware Mart</t>
        </is>
      </c>
      <c r="F63" s="66" t="inlineStr">
        <is>
          <t>UPI</t>
        </is>
      </c>
      <c r="G63" s="68" t="n">
        <v>10300</v>
      </c>
      <c r="H63" s="66" t="inlineStr">
        <is>
          <t>NEFT/UPI</t>
        </is>
      </c>
    </row>
    <row r="64">
      <c r="A64" s="65" t="n">
        <v>46213</v>
      </c>
      <c r="B64" s="66" t="inlineStr">
        <is>
          <t>V-0054</t>
        </is>
      </c>
      <c r="C64" s="66" t="inlineStr">
        <is>
          <t>Receipt</t>
        </is>
      </c>
      <c r="D64" s="66" t="inlineStr">
        <is>
          <t>Mehta Constructions</t>
        </is>
      </c>
      <c r="F64" s="66" t="inlineStr">
        <is>
          <t>Bank</t>
        </is>
      </c>
      <c r="G64" s="68" t="n">
        <v>28700</v>
      </c>
      <c r="H64" s="66" t="inlineStr">
        <is>
          <t>NEFT/UPI</t>
        </is>
      </c>
    </row>
    <row r="65">
      <c r="A65" s="65" t="n">
        <v>46213</v>
      </c>
      <c r="B65" s="66" t="inlineStr">
        <is>
          <t>V-0055</t>
        </is>
      </c>
      <c r="C65" s="66" t="inlineStr">
        <is>
          <t>Receipt</t>
        </is>
      </c>
      <c r="D65" s="66" t="inlineStr">
        <is>
          <t>FMCG Distributors</t>
        </is>
      </c>
      <c r="F65" s="66" t="inlineStr">
        <is>
          <t>UPI</t>
        </is>
      </c>
      <c r="G65" s="68" t="n">
        <v>11700</v>
      </c>
      <c r="H65" s="66" t="inlineStr">
        <is>
          <t>NEFT/UPI</t>
        </is>
      </c>
    </row>
    <row r="66">
      <c r="A66" s="65" t="n">
        <v>46213</v>
      </c>
      <c r="B66" s="66" t="inlineStr">
        <is>
          <t>V-0056</t>
        </is>
      </c>
      <c r="C66" s="66" t="inlineStr">
        <is>
          <t>Payment</t>
        </is>
      </c>
      <c r="D66" s="66" t="inlineStr">
        <is>
          <t>Agro Foods Pvt Ltd</t>
        </is>
      </c>
      <c r="F66" s="66" t="inlineStr">
        <is>
          <t>Bank</t>
        </is>
      </c>
      <c r="G66" s="68" t="n">
        <v>55000</v>
      </c>
      <c r="H66" s="66" t="inlineStr">
        <is>
          <t>RTGS</t>
        </is>
      </c>
    </row>
    <row r="67">
      <c r="A67" s="65" t="n">
        <v>46213</v>
      </c>
      <c r="B67" s="66" t="inlineStr">
        <is>
          <t>V-0057</t>
        </is>
      </c>
      <c r="C67" s="66" t="inlineStr">
        <is>
          <t>Payment</t>
        </is>
      </c>
      <c r="D67" s="66" t="inlineStr">
        <is>
          <t>Bharat Electric Co</t>
        </is>
      </c>
      <c r="F67" s="66" t="inlineStr">
        <is>
          <t>Bank</t>
        </is>
      </c>
      <c r="G67" s="68" t="n">
        <v>34000</v>
      </c>
      <c r="H67" s="66" t="inlineStr">
        <is>
          <t>RTGS</t>
        </is>
      </c>
    </row>
    <row r="68">
      <c r="A68" s="65" t="n">
        <v>46213</v>
      </c>
      <c r="B68" s="66" t="inlineStr">
        <is>
          <t>V-0058</t>
        </is>
      </c>
      <c r="C68" s="66" t="inlineStr">
        <is>
          <t>Payment</t>
        </is>
      </c>
      <c r="D68" s="66" t="inlineStr">
        <is>
          <t>FMCG Distributors</t>
        </is>
      </c>
      <c r="F68" s="66" t="inlineStr">
        <is>
          <t>Bank</t>
        </is>
      </c>
      <c r="G68" s="68" t="n">
        <v>2000</v>
      </c>
      <c r="H68" s="66" t="inlineStr">
        <is>
          <t>RTGS</t>
        </is>
      </c>
    </row>
    <row r="69">
      <c r="A69" s="65" t="n">
        <v>46213</v>
      </c>
      <c r="B69" s="66" t="inlineStr">
        <is>
          <t>V-0059</t>
        </is>
      </c>
      <c r="C69" s="66" t="inlineStr">
        <is>
          <t>Payment</t>
        </is>
      </c>
      <c r="D69" s="66" t="inlineStr">
        <is>
          <t>National Hardware Supply</t>
        </is>
      </c>
      <c r="F69" s="66" t="inlineStr">
        <is>
          <t>Bank</t>
        </is>
      </c>
      <c r="G69" s="68" t="n">
        <v>8000</v>
      </c>
      <c r="H69" s="66" t="inlineStr">
        <is>
          <t>RTGS</t>
        </is>
      </c>
    </row>
    <row r="70">
      <c r="A70" s="65" t="n">
        <v>46229</v>
      </c>
      <c r="B70" s="66" t="inlineStr">
        <is>
          <t>V-0060</t>
        </is>
      </c>
      <c r="C70" s="66" t="inlineStr">
        <is>
          <t>Transfer Out</t>
        </is>
      </c>
      <c r="F70" s="66" t="inlineStr">
        <is>
          <t>Cash</t>
        </is>
      </c>
      <c r="G70" s="68" t="n">
        <v>111000</v>
      </c>
      <c r="H70" s="66" t="inlineStr">
        <is>
          <t>Cash deposited to Bank</t>
        </is>
      </c>
    </row>
    <row r="71">
      <c r="A71" s="65" t="n">
        <v>46229</v>
      </c>
      <c r="B71" s="66" t="inlineStr">
        <is>
          <t>V-0060</t>
        </is>
      </c>
      <c r="C71" s="66" t="inlineStr">
        <is>
          <t>Transfer In</t>
        </is>
      </c>
      <c r="F71" s="66" t="inlineStr">
        <is>
          <t>Bank</t>
        </is>
      </c>
      <c r="G71" s="68" t="n">
        <v>111000</v>
      </c>
      <c r="H71" s="66" t="inlineStr">
        <is>
          <t>Cash deposited to Bank</t>
        </is>
      </c>
    </row>
    <row r="72">
      <c r="A72" s="65" t="n">
        <v>46229</v>
      </c>
      <c r="B72" s="66" t="inlineStr">
        <is>
          <t>V-0061</t>
        </is>
      </c>
      <c r="C72" s="66" t="inlineStr">
        <is>
          <t>Transfer Out</t>
        </is>
      </c>
      <c r="F72" s="66" t="inlineStr">
        <is>
          <t>UPI</t>
        </is>
      </c>
      <c r="G72" s="68" t="n">
        <v>50000</v>
      </c>
      <c r="H72" s="66" t="inlineStr">
        <is>
          <t>UPI deposited to Bank</t>
        </is>
      </c>
    </row>
    <row r="73">
      <c r="A73" s="65" t="n">
        <v>46229</v>
      </c>
      <c r="B73" s="66" t="inlineStr">
        <is>
          <t>V-0061</t>
        </is>
      </c>
      <c r="C73" s="66" t="inlineStr">
        <is>
          <t>Transfer In</t>
        </is>
      </c>
      <c r="F73" s="66" t="inlineStr">
        <is>
          <t>Bank</t>
        </is>
      </c>
      <c r="G73" s="68" t="n">
        <v>50000</v>
      </c>
      <c r="H73" s="66" t="inlineStr">
        <is>
          <t>UPI deposited to Bank</t>
        </is>
      </c>
    </row>
    <row r="74">
      <c r="A74" s="65" t="n">
        <v>46235</v>
      </c>
      <c r="B74" s="66" t="inlineStr">
        <is>
          <t>V-9002</t>
        </is>
      </c>
      <c r="C74" s="66" t="inlineStr">
        <is>
          <t>Other Income</t>
        </is>
      </c>
      <c r="E74" s="66" t="inlineStr">
        <is>
          <t>Misc</t>
        </is>
      </c>
      <c r="F74" s="66" t="inlineStr">
        <is>
          <t>Bank</t>
        </is>
      </c>
      <c r="G74" s="68" t="n">
        <v>1500</v>
      </c>
      <c r="H74" s="66" t="inlineStr">
        <is>
          <t>Scheme incentive</t>
        </is>
      </c>
    </row>
    <row r="75">
      <c r="A75" s="65" t="n">
        <v>46239</v>
      </c>
      <c r="B75" s="66" t="inlineStr">
        <is>
          <t>V-0062</t>
        </is>
      </c>
      <c r="C75" s="66" t="inlineStr">
        <is>
          <t>Expense</t>
        </is>
      </c>
      <c r="E75" s="66" t="inlineStr">
        <is>
          <t>Rent</t>
        </is>
      </c>
      <c r="F75" s="66" t="inlineStr">
        <is>
          <t>Bank</t>
        </is>
      </c>
      <c r="G75" s="68" t="n">
        <v>9000</v>
      </c>
    </row>
    <row r="76">
      <c r="A76" s="65" t="n">
        <v>46239</v>
      </c>
      <c r="B76" s="66" t="inlineStr">
        <is>
          <t>V-0063</t>
        </is>
      </c>
      <c r="C76" s="66" t="inlineStr">
        <is>
          <t>Expense</t>
        </is>
      </c>
      <c r="E76" s="66" t="inlineStr">
        <is>
          <t>Salary</t>
        </is>
      </c>
      <c r="F76" s="66" t="inlineStr">
        <is>
          <t>Bank</t>
        </is>
      </c>
      <c r="G76" s="68" t="n">
        <v>12000</v>
      </c>
    </row>
    <row r="77">
      <c r="A77" s="65" t="n">
        <v>46239</v>
      </c>
      <c r="B77" s="66" t="inlineStr">
        <is>
          <t>V-0064</t>
        </is>
      </c>
      <c r="C77" s="66" t="inlineStr">
        <is>
          <t>Expense</t>
        </is>
      </c>
      <c r="E77" s="66" t="inlineStr">
        <is>
          <t>Electricity</t>
        </is>
      </c>
      <c r="F77" s="66" t="inlineStr">
        <is>
          <t>UPI</t>
        </is>
      </c>
      <c r="G77" s="68" t="n">
        <v>5128</v>
      </c>
    </row>
    <row r="78">
      <c r="A78" s="65" t="n">
        <v>46239</v>
      </c>
      <c r="B78" s="66" t="inlineStr">
        <is>
          <t>V-0065</t>
        </is>
      </c>
      <c r="C78" s="66" t="inlineStr">
        <is>
          <t>Expense</t>
        </is>
      </c>
      <c r="E78" s="66" t="inlineStr">
        <is>
          <t>Transport / Freight</t>
        </is>
      </c>
      <c r="F78" s="66" t="inlineStr">
        <is>
          <t>Cash</t>
        </is>
      </c>
      <c r="G78" s="68" t="n">
        <v>8246</v>
      </c>
    </row>
    <row r="79">
      <c r="A79" s="65" t="n">
        <v>46239</v>
      </c>
      <c r="B79" s="66" t="inlineStr">
        <is>
          <t>V-0066</t>
        </is>
      </c>
      <c r="C79" s="66" t="inlineStr">
        <is>
          <t>Expense</t>
        </is>
      </c>
      <c r="E79" s="66" t="inlineStr">
        <is>
          <t>Telephone / Internet</t>
        </is>
      </c>
      <c r="F79" s="66" t="inlineStr">
        <is>
          <t>UPI</t>
        </is>
      </c>
      <c r="G79" s="68" t="n">
        <v>1199</v>
      </c>
    </row>
    <row r="80">
      <c r="A80" s="65" t="n">
        <v>46244</v>
      </c>
      <c r="B80" s="66" t="inlineStr">
        <is>
          <t>V-0067</t>
        </is>
      </c>
      <c r="C80" s="66" t="inlineStr">
        <is>
          <t>Receipt</t>
        </is>
      </c>
      <c r="D80" s="66" t="inlineStr">
        <is>
          <t>Sharma Kirana Store</t>
        </is>
      </c>
      <c r="F80" s="66" t="inlineStr">
        <is>
          <t>UPI</t>
        </is>
      </c>
      <c r="G80" s="68" t="n">
        <v>17900</v>
      </c>
      <c r="H80" s="66" t="inlineStr">
        <is>
          <t>NEFT/UPI</t>
        </is>
      </c>
    </row>
    <row r="81">
      <c r="A81" s="65" t="n">
        <v>46244</v>
      </c>
      <c r="B81" s="66" t="inlineStr">
        <is>
          <t>V-0068</t>
        </is>
      </c>
      <c r="C81" s="66" t="inlineStr">
        <is>
          <t>Receipt</t>
        </is>
      </c>
      <c r="D81" s="66" t="inlineStr">
        <is>
          <t>Gupta Electricals</t>
        </is>
      </c>
      <c r="F81" s="66" t="inlineStr">
        <is>
          <t>Bank</t>
        </is>
      </c>
      <c r="G81" s="68" t="n">
        <v>19500</v>
      </c>
      <c r="H81" s="66" t="inlineStr">
        <is>
          <t>NEFT/UPI</t>
        </is>
      </c>
    </row>
    <row r="82">
      <c r="A82" s="65" t="n">
        <v>46244</v>
      </c>
      <c r="B82" s="66" t="inlineStr">
        <is>
          <t>V-0069</t>
        </is>
      </c>
      <c r="C82" s="66" t="inlineStr">
        <is>
          <t>Receipt</t>
        </is>
      </c>
      <c r="D82" s="66" t="inlineStr">
        <is>
          <t>Delhi Hardware Mart</t>
        </is>
      </c>
      <c r="F82" s="66" t="inlineStr">
        <is>
          <t>UPI</t>
        </is>
      </c>
      <c r="G82" s="68" t="n">
        <v>13200</v>
      </c>
      <c r="H82" s="66" t="inlineStr">
        <is>
          <t>NEFT/UPI</t>
        </is>
      </c>
    </row>
    <row r="83">
      <c r="A83" s="65" t="n">
        <v>46244</v>
      </c>
      <c r="B83" s="66" t="inlineStr">
        <is>
          <t>V-0070</t>
        </is>
      </c>
      <c r="C83" s="66" t="inlineStr">
        <is>
          <t>Receipt</t>
        </is>
      </c>
      <c r="D83" s="66" t="inlineStr">
        <is>
          <t>Mehta Constructions</t>
        </is>
      </c>
      <c r="F83" s="66" t="inlineStr">
        <is>
          <t>UPI</t>
        </is>
      </c>
      <c r="G83" s="68" t="n">
        <v>13700</v>
      </c>
      <c r="H83" s="66" t="inlineStr">
        <is>
          <t>NEFT/UPI</t>
        </is>
      </c>
    </row>
    <row r="84">
      <c r="A84" s="65" t="n">
        <v>46244</v>
      </c>
      <c r="B84" s="66" t="inlineStr">
        <is>
          <t>V-0071</t>
        </is>
      </c>
      <c r="C84" s="66" t="inlineStr">
        <is>
          <t>Receipt</t>
        </is>
      </c>
      <c r="D84" s="66" t="inlineStr">
        <is>
          <t>FMCG Distributors</t>
        </is>
      </c>
      <c r="F84" s="66" t="inlineStr">
        <is>
          <t>UPI</t>
        </is>
      </c>
      <c r="G84" s="68" t="n">
        <v>13700</v>
      </c>
      <c r="H84" s="66" t="inlineStr">
        <is>
          <t>NEFT/UPI</t>
        </is>
      </c>
    </row>
    <row r="85">
      <c r="A85" s="65" t="n">
        <v>46244</v>
      </c>
      <c r="B85" s="66" t="inlineStr">
        <is>
          <t>V-0072</t>
        </is>
      </c>
      <c r="C85" s="66" t="inlineStr">
        <is>
          <t>Payment</t>
        </is>
      </c>
      <c r="D85" s="66" t="inlineStr">
        <is>
          <t>Agro Foods Pvt Ltd</t>
        </is>
      </c>
      <c r="F85" s="66" t="inlineStr">
        <is>
          <t>Bank</t>
        </is>
      </c>
      <c r="G85" s="68" t="n">
        <v>7000</v>
      </c>
      <c r="H85" s="66" t="inlineStr">
        <is>
          <t>RTGS</t>
        </is>
      </c>
    </row>
    <row r="86">
      <c r="A86" s="65" t="n">
        <v>46244</v>
      </c>
      <c r="B86" s="66" t="inlineStr">
        <is>
          <t>V-0073</t>
        </is>
      </c>
      <c r="C86" s="66" t="inlineStr">
        <is>
          <t>Payment</t>
        </is>
      </c>
      <c r="D86" s="66" t="inlineStr">
        <is>
          <t>Bharat Electric Co</t>
        </is>
      </c>
      <c r="F86" s="66" t="inlineStr">
        <is>
          <t>Bank</t>
        </is>
      </c>
      <c r="G86" s="68" t="n">
        <v>55000</v>
      </c>
      <c r="H86" s="66" t="inlineStr">
        <is>
          <t>RTGS</t>
        </is>
      </c>
    </row>
    <row r="87">
      <c r="A87" s="65" t="n">
        <v>46244</v>
      </c>
      <c r="B87" s="66" t="inlineStr">
        <is>
          <t>V-0074</t>
        </is>
      </c>
      <c r="C87" s="66" t="inlineStr">
        <is>
          <t>Payment</t>
        </is>
      </c>
      <c r="D87" s="66" t="inlineStr">
        <is>
          <t>FMCG Distributors</t>
        </is>
      </c>
      <c r="F87" s="66" t="inlineStr">
        <is>
          <t>Bank</t>
        </is>
      </c>
      <c r="G87" s="68" t="n">
        <v>23000</v>
      </c>
      <c r="H87" s="66" t="inlineStr">
        <is>
          <t>RTGS</t>
        </is>
      </c>
    </row>
    <row r="88">
      <c r="A88" s="65" t="n">
        <v>46244</v>
      </c>
      <c r="B88" s="66" t="inlineStr">
        <is>
          <t>V-0075</t>
        </is>
      </c>
      <c r="C88" s="66" t="inlineStr">
        <is>
          <t>Payment</t>
        </is>
      </c>
      <c r="D88" s="66" t="inlineStr">
        <is>
          <t>National Hardware Supply</t>
        </is>
      </c>
      <c r="F88" s="66" t="inlineStr">
        <is>
          <t>Bank</t>
        </is>
      </c>
      <c r="G88" s="68" t="n">
        <v>24000</v>
      </c>
      <c r="H88" s="66" t="inlineStr">
        <is>
          <t>RTGS</t>
        </is>
      </c>
    </row>
    <row r="89">
      <c r="A89" s="65" t="n">
        <v>46260</v>
      </c>
      <c r="B89" s="66" t="inlineStr">
        <is>
          <t>V-0076</t>
        </is>
      </c>
      <c r="C89" s="66" t="inlineStr">
        <is>
          <t>Transfer Out</t>
        </is>
      </c>
      <c r="F89" s="66" t="inlineStr">
        <is>
          <t>Cash</t>
        </is>
      </c>
      <c r="G89" s="68" t="n">
        <v>89000</v>
      </c>
      <c r="H89" s="66" t="inlineStr">
        <is>
          <t>Cash deposited to Bank</t>
        </is>
      </c>
    </row>
    <row r="90">
      <c r="A90" s="65" t="n">
        <v>46260</v>
      </c>
      <c r="B90" s="66" t="inlineStr">
        <is>
          <t>V-0076</t>
        </is>
      </c>
      <c r="C90" s="66" t="inlineStr">
        <is>
          <t>Transfer In</t>
        </is>
      </c>
      <c r="F90" s="66" t="inlineStr">
        <is>
          <t>Bank</t>
        </is>
      </c>
      <c r="G90" s="68" t="n">
        <v>89000</v>
      </c>
      <c r="H90" s="66" t="inlineStr">
        <is>
          <t>Cash deposited to Bank</t>
        </is>
      </c>
    </row>
    <row r="91">
      <c r="A91" s="65" t="n">
        <v>46260</v>
      </c>
      <c r="B91" s="66" t="inlineStr">
        <is>
          <t>V-0077</t>
        </is>
      </c>
      <c r="C91" s="66" t="inlineStr">
        <is>
          <t>Transfer Out</t>
        </is>
      </c>
      <c r="F91" s="66" t="inlineStr">
        <is>
          <t>UPI</t>
        </is>
      </c>
      <c r="G91" s="68" t="n">
        <v>53000</v>
      </c>
      <c r="H91" s="66" t="inlineStr">
        <is>
          <t>UPI deposited to Bank</t>
        </is>
      </c>
    </row>
    <row r="92">
      <c r="A92" s="65" t="n">
        <v>46260</v>
      </c>
      <c r="B92" s="66" t="inlineStr">
        <is>
          <t>V-0077</t>
        </is>
      </c>
      <c r="C92" s="66" t="inlineStr">
        <is>
          <t>Transfer In</t>
        </is>
      </c>
      <c r="F92" s="66" t="inlineStr">
        <is>
          <t>Bank</t>
        </is>
      </c>
      <c r="G92" s="68" t="n">
        <v>53000</v>
      </c>
      <c r="H92" s="66" t="inlineStr">
        <is>
          <t>UPI deposited to Bank</t>
        </is>
      </c>
    </row>
    <row r="93">
      <c r="A93" s="65" t="n">
        <v>46266</v>
      </c>
      <c r="B93" s="66" t="inlineStr">
        <is>
          <t>V-9003</t>
        </is>
      </c>
      <c r="C93" s="66" t="inlineStr">
        <is>
          <t>Drawings</t>
        </is>
      </c>
      <c r="F93" s="66" t="inlineStr">
        <is>
          <t>Bank</t>
        </is>
      </c>
      <c r="G93" s="68" t="n">
        <v>30000</v>
      </c>
      <c r="H93" s="66" t="inlineStr">
        <is>
          <t>Owner withdrawal</t>
        </is>
      </c>
    </row>
    <row r="94">
      <c r="A94" s="65" t="n">
        <v>46270</v>
      </c>
      <c r="B94" s="66" t="inlineStr">
        <is>
          <t>V-0078</t>
        </is>
      </c>
      <c r="C94" s="66" t="inlineStr">
        <is>
          <t>Expense</t>
        </is>
      </c>
      <c r="E94" s="66" t="inlineStr">
        <is>
          <t>Rent</t>
        </is>
      </c>
      <c r="F94" s="66" t="inlineStr">
        <is>
          <t>Bank</t>
        </is>
      </c>
      <c r="G94" s="68" t="n">
        <v>9000</v>
      </c>
    </row>
    <row r="95">
      <c r="A95" s="65" t="n">
        <v>46270</v>
      </c>
      <c r="B95" s="66" t="inlineStr">
        <is>
          <t>V-0079</t>
        </is>
      </c>
      <c r="C95" s="66" t="inlineStr">
        <is>
          <t>Expense</t>
        </is>
      </c>
      <c r="E95" s="66" t="inlineStr">
        <is>
          <t>Salary</t>
        </is>
      </c>
      <c r="F95" s="66" t="inlineStr">
        <is>
          <t>Bank</t>
        </is>
      </c>
      <c r="G95" s="68" t="n">
        <v>12000</v>
      </c>
    </row>
    <row r="96">
      <c r="A96" s="65" t="n">
        <v>46270</v>
      </c>
      <c r="B96" s="66" t="inlineStr">
        <is>
          <t>V-0080</t>
        </is>
      </c>
      <c r="C96" s="66" t="inlineStr">
        <is>
          <t>Expense</t>
        </is>
      </c>
      <c r="E96" s="66" t="inlineStr">
        <is>
          <t>Electricity</t>
        </is>
      </c>
      <c r="F96" s="66" t="inlineStr">
        <is>
          <t>UPI</t>
        </is>
      </c>
      <c r="G96" s="68" t="n">
        <v>3249</v>
      </c>
    </row>
    <row r="97">
      <c r="A97" s="65" t="n">
        <v>46270</v>
      </c>
      <c r="B97" s="66" t="inlineStr">
        <is>
          <t>V-0081</t>
        </is>
      </c>
      <c r="C97" s="66" t="inlineStr">
        <is>
          <t>Expense</t>
        </is>
      </c>
      <c r="E97" s="66" t="inlineStr">
        <is>
          <t>Transport / Freight</t>
        </is>
      </c>
      <c r="F97" s="66" t="inlineStr">
        <is>
          <t>Cash</t>
        </is>
      </c>
      <c r="G97" s="68" t="n">
        <v>6415</v>
      </c>
    </row>
    <row r="98">
      <c r="A98" s="65" t="n">
        <v>46270</v>
      </c>
      <c r="B98" s="66" t="inlineStr">
        <is>
          <t>V-0082</t>
        </is>
      </c>
      <c r="C98" s="66" t="inlineStr">
        <is>
          <t>Expense</t>
        </is>
      </c>
      <c r="E98" s="66" t="inlineStr">
        <is>
          <t>Telephone / Internet</t>
        </is>
      </c>
      <c r="F98" s="66" t="inlineStr">
        <is>
          <t>UPI</t>
        </is>
      </c>
      <c r="G98" s="68" t="n">
        <v>1199</v>
      </c>
    </row>
    <row r="99">
      <c r="A99" s="65" t="n">
        <v>46275</v>
      </c>
      <c r="B99" s="66" t="inlineStr">
        <is>
          <t>V-0083</t>
        </is>
      </c>
      <c r="C99" s="66" t="inlineStr">
        <is>
          <t>Receipt</t>
        </is>
      </c>
      <c r="D99" s="66" t="inlineStr">
        <is>
          <t>Sharma Kirana Store</t>
        </is>
      </c>
      <c r="F99" s="66" t="inlineStr">
        <is>
          <t>Bank</t>
        </is>
      </c>
      <c r="G99" s="68" t="n">
        <v>22100</v>
      </c>
      <c r="H99" s="66" t="inlineStr">
        <is>
          <t>NEFT/UPI</t>
        </is>
      </c>
    </row>
    <row r="100">
      <c r="A100" s="65" t="n">
        <v>46275</v>
      </c>
      <c r="B100" s="66" t="inlineStr">
        <is>
          <t>V-0084</t>
        </is>
      </c>
      <c r="C100" s="66" t="inlineStr">
        <is>
          <t>Receipt</t>
        </is>
      </c>
      <c r="D100" s="66" t="inlineStr">
        <is>
          <t>Gupta Electricals</t>
        </is>
      </c>
      <c r="F100" s="66" t="inlineStr">
        <is>
          <t>Bank</t>
        </is>
      </c>
      <c r="G100" s="68" t="n">
        <v>12400</v>
      </c>
      <c r="H100" s="66" t="inlineStr">
        <is>
          <t>NEFT/UPI</t>
        </is>
      </c>
    </row>
    <row r="101">
      <c r="A101" s="65" t="n">
        <v>46275</v>
      </c>
      <c r="B101" s="66" t="inlineStr">
        <is>
          <t>V-0085</t>
        </is>
      </c>
      <c r="C101" s="66" t="inlineStr">
        <is>
          <t>Receipt</t>
        </is>
      </c>
      <c r="D101" s="66" t="inlineStr">
        <is>
          <t>Delhi Hardware Mart</t>
        </is>
      </c>
      <c r="F101" s="66" t="inlineStr">
        <is>
          <t>Bank</t>
        </is>
      </c>
      <c r="G101" s="68" t="n">
        <v>12800</v>
      </c>
      <c r="H101" s="66" t="inlineStr">
        <is>
          <t>NEFT/UPI</t>
        </is>
      </c>
    </row>
    <row r="102">
      <c r="A102" s="65" t="n">
        <v>46275</v>
      </c>
      <c r="B102" s="66" t="inlineStr">
        <is>
          <t>V-0086</t>
        </is>
      </c>
      <c r="C102" s="66" t="inlineStr">
        <is>
          <t>Receipt</t>
        </is>
      </c>
      <c r="D102" s="66" t="inlineStr">
        <is>
          <t>Mehta Constructions</t>
        </is>
      </c>
      <c r="F102" s="66" t="inlineStr">
        <is>
          <t>UPI</t>
        </is>
      </c>
      <c r="G102" s="68" t="n">
        <v>12700</v>
      </c>
      <c r="H102" s="66" t="inlineStr">
        <is>
          <t>NEFT/UPI</t>
        </is>
      </c>
    </row>
    <row r="103">
      <c r="A103" s="65" t="n">
        <v>46275</v>
      </c>
      <c r="B103" s="66" t="inlineStr">
        <is>
          <t>V-0087</t>
        </is>
      </c>
      <c r="C103" s="66" t="inlineStr">
        <is>
          <t>Receipt</t>
        </is>
      </c>
      <c r="D103" s="66" t="inlineStr">
        <is>
          <t>FMCG Distributors</t>
        </is>
      </c>
      <c r="F103" s="66" t="inlineStr">
        <is>
          <t>Bank</t>
        </is>
      </c>
      <c r="G103" s="68" t="n">
        <v>18800</v>
      </c>
      <c r="H103" s="66" t="inlineStr">
        <is>
          <t>NEFT/UPI</t>
        </is>
      </c>
    </row>
    <row r="104">
      <c r="A104" s="65" t="n">
        <v>46275</v>
      </c>
      <c r="B104" s="66" t="inlineStr">
        <is>
          <t>V-0088</t>
        </is>
      </c>
      <c r="C104" s="66" t="inlineStr">
        <is>
          <t>Payment</t>
        </is>
      </c>
      <c r="D104" s="66" t="inlineStr">
        <is>
          <t>Agro Foods Pvt Ltd</t>
        </is>
      </c>
      <c r="F104" s="66" t="inlineStr">
        <is>
          <t>Bank</t>
        </is>
      </c>
      <c r="G104" s="68" t="n">
        <v>85000</v>
      </c>
      <c r="H104" s="66" t="inlineStr">
        <is>
          <t>RTGS</t>
        </is>
      </c>
    </row>
    <row r="105">
      <c r="A105" s="65" t="n">
        <v>46275</v>
      </c>
      <c r="B105" s="66" t="inlineStr">
        <is>
          <t>V-0089</t>
        </is>
      </c>
      <c r="C105" s="66" t="inlineStr">
        <is>
          <t>Payment</t>
        </is>
      </c>
      <c r="D105" s="66" t="inlineStr">
        <is>
          <t>Bharat Electric Co</t>
        </is>
      </c>
      <c r="F105" s="66" t="inlineStr">
        <is>
          <t>Bank</t>
        </is>
      </c>
      <c r="G105" s="68" t="n">
        <v>39000</v>
      </c>
      <c r="H105" s="66" t="inlineStr">
        <is>
          <t>RTGS</t>
        </is>
      </c>
    </row>
    <row r="106">
      <c r="A106" s="65" t="n">
        <v>46275</v>
      </c>
      <c r="B106" s="66" t="inlineStr">
        <is>
          <t>V-0090</t>
        </is>
      </c>
      <c r="C106" s="66" t="inlineStr">
        <is>
          <t>Payment</t>
        </is>
      </c>
      <c r="D106" s="66" t="inlineStr">
        <is>
          <t>FMCG Distributors</t>
        </is>
      </c>
      <c r="F106" s="66" t="inlineStr">
        <is>
          <t>Bank</t>
        </is>
      </c>
      <c r="G106" s="68" t="n">
        <v>13000</v>
      </c>
      <c r="H106" s="66" t="inlineStr">
        <is>
          <t>RTGS</t>
        </is>
      </c>
    </row>
    <row r="107">
      <c r="A107" s="65" t="n">
        <v>46275</v>
      </c>
      <c r="B107" s="66" t="inlineStr">
        <is>
          <t>V-0091</t>
        </is>
      </c>
      <c r="C107" s="66" t="inlineStr">
        <is>
          <t>Payment</t>
        </is>
      </c>
      <c r="D107" s="66" t="inlineStr">
        <is>
          <t>National Hardware Supply</t>
        </is>
      </c>
      <c r="F107" s="66" t="inlineStr">
        <is>
          <t>Bank</t>
        </is>
      </c>
      <c r="G107" s="68" t="n">
        <v>8000</v>
      </c>
      <c r="H107" s="66" t="inlineStr">
        <is>
          <t>RTGS</t>
        </is>
      </c>
    </row>
    <row r="108">
      <c r="A108" s="65" t="n">
        <v>46291</v>
      </c>
      <c r="B108" s="66" t="inlineStr">
        <is>
          <t>V-0092</t>
        </is>
      </c>
      <c r="C108" s="66" t="inlineStr">
        <is>
          <t>Transfer Out</t>
        </is>
      </c>
      <c r="F108" s="66" t="inlineStr">
        <is>
          <t>Cash</t>
        </is>
      </c>
      <c r="G108" s="68" t="n">
        <v>82000</v>
      </c>
      <c r="H108" s="66" t="inlineStr">
        <is>
          <t>Cash deposited to Bank</t>
        </is>
      </c>
    </row>
    <row r="109">
      <c r="A109" s="65" t="n">
        <v>46291</v>
      </c>
      <c r="B109" s="66" t="inlineStr">
        <is>
          <t>V-0092</t>
        </is>
      </c>
      <c r="C109" s="66" t="inlineStr">
        <is>
          <t>Transfer In</t>
        </is>
      </c>
      <c r="F109" s="66" t="inlineStr">
        <is>
          <t>Bank</t>
        </is>
      </c>
      <c r="G109" s="68" t="n">
        <v>82000</v>
      </c>
      <c r="H109" s="66" t="inlineStr">
        <is>
          <t>Cash deposited to Bank</t>
        </is>
      </c>
    </row>
    <row r="110">
      <c r="A110" s="65" t="n">
        <v>46291</v>
      </c>
      <c r="B110" s="66" t="inlineStr">
        <is>
          <t>V-0093</t>
        </is>
      </c>
      <c r="C110" s="66" t="inlineStr">
        <is>
          <t>Transfer Out</t>
        </is>
      </c>
      <c r="F110" s="66" t="inlineStr">
        <is>
          <t>UPI</t>
        </is>
      </c>
      <c r="G110" s="68" t="n">
        <v>58000</v>
      </c>
      <c r="H110" s="66" t="inlineStr">
        <is>
          <t>UPI deposited to Bank</t>
        </is>
      </c>
    </row>
    <row r="111">
      <c r="A111" s="65" t="n">
        <v>46291</v>
      </c>
      <c r="B111" s="66" t="inlineStr">
        <is>
          <t>V-0093</t>
        </is>
      </c>
      <c r="C111" s="66" t="inlineStr">
        <is>
          <t>Transfer In</t>
        </is>
      </c>
      <c r="F111" s="66" t="inlineStr">
        <is>
          <t>Bank</t>
        </is>
      </c>
      <c r="G111" s="68" t="n">
        <v>58000</v>
      </c>
      <c r="H111" s="66" t="inlineStr">
        <is>
          <t>UPI deposited to Bank</t>
        </is>
      </c>
    </row>
    <row r="112">
      <c r="A112" s="65" t="n">
        <v>46300</v>
      </c>
      <c r="B112" s="66" t="inlineStr">
        <is>
          <t>V-0094</t>
        </is>
      </c>
      <c r="C112" s="66" t="inlineStr">
        <is>
          <t>Expense</t>
        </is>
      </c>
      <c r="E112" s="66" t="inlineStr">
        <is>
          <t>Rent</t>
        </is>
      </c>
      <c r="F112" s="66" t="inlineStr">
        <is>
          <t>Bank</t>
        </is>
      </c>
      <c r="G112" s="68" t="n">
        <v>9000</v>
      </c>
    </row>
    <row r="113">
      <c r="A113" s="65" t="n">
        <v>46300</v>
      </c>
      <c r="B113" s="66" t="inlineStr">
        <is>
          <t>V-0095</t>
        </is>
      </c>
      <c r="C113" s="66" t="inlineStr">
        <is>
          <t>Expense</t>
        </is>
      </c>
      <c r="E113" s="66" t="inlineStr">
        <is>
          <t>Salary</t>
        </is>
      </c>
      <c r="F113" s="66" t="inlineStr">
        <is>
          <t>Bank</t>
        </is>
      </c>
      <c r="G113" s="68" t="n">
        <v>12000</v>
      </c>
    </row>
    <row r="114">
      <c r="A114" s="65" t="n">
        <v>46300</v>
      </c>
      <c r="B114" s="66" t="inlineStr">
        <is>
          <t>V-0096</t>
        </is>
      </c>
      <c r="C114" s="66" t="inlineStr">
        <is>
          <t>Expense</t>
        </is>
      </c>
      <c r="E114" s="66" t="inlineStr">
        <is>
          <t>Electricity</t>
        </is>
      </c>
      <c r="F114" s="66" t="inlineStr">
        <is>
          <t>UPI</t>
        </is>
      </c>
      <c r="G114" s="68" t="n">
        <v>3985</v>
      </c>
    </row>
    <row r="115">
      <c r="A115" s="65" t="n">
        <v>46300</v>
      </c>
      <c r="B115" s="66" t="inlineStr">
        <is>
          <t>V-0097</t>
        </is>
      </c>
      <c r="C115" s="66" t="inlineStr">
        <is>
          <t>Expense</t>
        </is>
      </c>
      <c r="E115" s="66" t="inlineStr">
        <is>
          <t>Transport / Freight</t>
        </is>
      </c>
      <c r="F115" s="66" t="inlineStr">
        <is>
          <t>Cash</t>
        </is>
      </c>
      <c r="G115" s="68" t="n">
        <v>8518</v>
      </c>
    </row>
    <row r="116">
      <c r="A116" s="65" t="n">
        <v>46300</v>
      </c>
      <c r="B116" s="66" t="inlineStr">
        <is>
          <t>V-0098</t>
        </is>
      </c>
      <c r="C116" s="66" t="inlineStr">
        <is>
          <t>Expense</t>
        </is>
      </c>
      <c r="E116" s="66" t="inlineStr">
        <is>
          <t>Telephone / Internet</t>
        </is>
      </c>
      <c r="F116" s="66" t="inlineStr">
        <is>
          <t>UPI</t>
        </is>
      </c>
      <c r="G116" s="68" t="n">
        <v>1199</v>
      </c>
    </row>
    <row r="117">
      <c r="A117" s="65" t="n">
        <v>46305</v>
      </c>
      <c r="B117" s="66" t="inlineStr">
        <is>
          <t>V-0099</t>
        </is>
      </c>
      <c r="C117" s="66" t="inlineStr">
        <is>
          <t>Receipt</t>
        </is>
      </c>
      <c r="D117" s="66" t="inlineStr">
        <is>
          <t>Sharma Kirana Store</t>
        </is>
      </c>
      <c r="F117" s="66" t="inlineStr">
        <is>
          <t>UPI</t>
        </is>
      </c>
      <c r="G117" s="68" t="n">
        <v>12700</v>
      </c>
      <c r="H117" s="66" t="inlineStr">
        <is>
          <t>NEFT/UPI</t>
        </is>
      </c>
    </row>
    <row r="118">
      <c r="A118" s="65" t="n">
        <v>46305</v>
      </c>
      <c r="B118" s="66" t="inlineStr">
        <is>
          <t>V-0100</t>
        </is>
      </c>
      <c r="C118" s="66" t="inlineStr">
        <is>
          <t>Receipt</t>
        </is>
      </c>
      <c r="D118" s="66" t="inlineStr">
        <is>
          <t>Gupta Electricals</t>
        </is>
      </c>
      <c r="F118" s="66" t="inlineStr">
        <is>
          <t>UPI</t>
        </is>
      </c>
      <c r="G118" s="68" t="n">
        <v>16000</v>
      </c>
      <c r="H118" s="66" t="inlineStr">
        <is>
          <t>NEFT/UPI</t>
        </is>
      </c>
    </row>
    <row r="119">
      <c r="A119" s="65" t="n">
        <v>46305</v>
      </c>
      <c r="B119" s="66" t="inlineStr">
        <is>
          <t>V-0101</t>
        </is>
      </c>
      <c r="C119" s="66" t="inlineStr">
        <is>
          <t>Receipt</t>
        </is>
      </c>
      <c r="D119" s="66" t="inlineStr">
        <is>
          <t>Delhi Hardware Mart</t>
        </is>
      </c>
      <c r="F119" s="66" t="inlineStr">
        <is>
          <t>UPI</t>
        </is>
      </c>
      <c r="G119" s="68" t="n">
        <v>16100</v>
      </c>
      <c r="H119" s="66" t="inlineStr">
        <is>
          <t>NEFT/UPI</t>
        </is>
      </c>
    </row>
    <row r="120">
      <c r="A120" s="65" t="n">
        <v>46305</v>
      </c>
      <c r="B120" s="66" t="inlineStr">
        <is>
          <t>V-0102</t>
        </is>
      </c>
      <c r="C120" s="66" t="inlineStr">
        <is>
          <t>Receipt</t>
        </is>
      </c>
      <c r="D120" s="66" t="inlineStr">
        <is>
          <t>Mehta Constructions</t>
        </is>
      </c>
      <c r="F120" s="66" t="inlineStr">
        <is>
          <t>Bank</t>
        </is>
      </c>
      <c r="G120" s="68" t="n">
        <v>22100</v>
      </c>
      <c r="H120" s="66" t="inlineStr">
        <is>
          <t>NEFT/UPI</t>
        </is>
      </c>
    </row>
    <row r="121">
      <c r="A121" s="65" t="n">
        <v>46305</v>
      </c>
      <c r="B121" s="66" t="inlineStr">
        <is>
          <t>V-0103</t>
        </is>
      </c>
      <c r="C121" s="66" t="inlineStr">
        <is>
          <t>Receipt</t>
        </is>
      </c>
      <c r="D121" s="66" t="inlineStr">
        <is>
          <t>FMCG Distributors</t>
        </is>
      </c>
      <c r="F121" s="66" t="inlineStr">
        <is>
          <t>UPI</t>
        </is>
      </c>
      <c r="G121" s="68" t="n">
        <v>17700</v>
      </c>
      <c r="H121" s="66" t="inlineStr">
        <is>
          <t>NEFT/UPI</t>
        </is>
      </c>
    </row>
    <row r="122">
      <c r="A122" s="65" t="n">
        <v>46305</v>
      </c>
      <c r="B122" s="66" t="inlineStr">
        <is>
          <t>V-0104</t>
        </is>
      </c>
      <c r="C122" s="66" t="inlineStr">
        <is>
          <t>Payment</t>
        </is>
      </c>
      <c r="D122" s="66" t="inlineStr">
        <is>
          <t>Agro Foods Pvt Ltd</t>
        </is>
      </c>
      <c r="F122" s="66" t="inlineStr">
        <is>
          <t>Bank</t>
        </is>
      </c>
      <c r="G122" s="68" t="n">
        <v>38000</v>
      </c>
      <c r="H122" s="66" t="inlineStr">
        <is>
          <t>RTGS</t>
        </is>
      </c>
    </row>
    <row r="123">
      <c r="A123" s="65" t="n">
        <v>46305</v>
      </c>
      <c r="B123" s="66" t="inlineStr">
        <is>
          <t>V-0105</t>
        </is>
      </c>
      <c r="C123" s="66" t="inlineStr">
        <is>
          <t>Payment</t>
        </is>
      </c>
      <c r="D123" s="66" t="inlineStr">
        <is>
          <t>Bharat Electric Co</t>
        </is>
      </c>
      <c r="F123" s="66" t="inlineStr">
        <is>
          <t>Bank</t>
        </is>
      </c>
      <c r="G123" s="68" t="n">
        <v>6000</v>
      </c>
      <c r="H123" s="66" t="inlineStr">
        <is>
          <t>RTGS</t>
        </is>
      </c>
    </row>
    <row r="124">
      <c r="A124" s="65" t="n">
        <v>46305</v>
      </c>
      <c r="B124" s="66" t="inlineStr">
        <is>
          <t>V-0106</t>
        </is>
      </c>
      <c r="C124" s="66" t="inlineStr">
        <is>
          <t>Payment</t>
        </is>
      </c>
      <c r="D124" s="66" t="inlineStr">
        <is>
          <t>FMCG Distributors</t>
        </is>
      </c>
      <c r="F124" s="66" t="inlineStr">
        <is>
          <t>Bank</t>
        </is>
      </c>
      <c r="G124" s="68" t="n">
        <v>45000</v>
      </c>
      <c r="H124" s="66" t="inlineStr">
        <is>
          <t>RTGS</t>
        </is>
      </c>
    </row>
    <row r="125">
      <c r="A125" s="65" t="n">
        <v>46305</v>
      </c>
      <c r="B125" s="66" t="inlineStr">
        <is>
          <t>V-0107</t>
        </is>
      </c>
      <c r="C125" s="66" t="inlineStr">
        <is>
          <t>Payment</t>
        </is>
      </c>
      <c r="D125" s="66" t="inlineStr">
        <is>
          <t>National Hardware Supply</t>
        </is>
      </c>
      <c r="F125" s="66" t="inlineStr">
        <is>
          <t>Bank</t>
        </is>
      </c>
      <c r="G125" s="68" t="n">
        <v>30000</v>
      </c>
      <c r="H125" s="66" t="inlineStr">
        <is>
          <t>RTGS</t>
        </is>
      </c>
    </row>
  </sheetData>
  <autoFilter ref="A4:K20004"/>
  <mergeCells count="2">
    <mergeCell ref="A2:K2"/>
    <mergeCell ref="A1:K1"/>
  </mergeCells>
  <conditionalFormatting sqref="K5:K20004">
    <cfRule type="expression" priority="1" dxfId="3">
      <formula>AND(K5&lt;&gt;"",K5&lt;&gt;"OK")</formula>
    </cfRule>
    <cfRule type="cellIs" priority="2" operator="equal" dxfId="7">
      <formula>"PRO PLAN"</formula>
    </cfRule>
  </conditionalFormatting>
  <dataValidations count="4">
    <dataValidation sqref="C5:C20004" showDropDown="0" showInputMessage="0" showErrorMessage="1" allowBlank="1" error="Pick a value from the list (add new masters on the master sheet first)." type="list" errorStyle="stop">
      <formula1>L_VoucherTypes</formula1>
    </dataValidation>
    <dataValidation sqref="D5:D20004" showDropDown="0" showInputMessage="0" showErrorMessage="1" allowBlank="1" error="Pick a value from the list (add new masters on the master sheet first)." type="list" errorStyle="stop">
      <formula1>L_Parties</formula1>
    </dataValidation>
    <dataValidation sqref="E5:E20004" showDropDown="0" showInputMessage="0" showErrorMessage="0" allowBlank="1" error="Pick a value from the list (add new masters on the master sheet first)." type="list" errorStyle="warning">
      <formula1>L_ExpenseHeads</formula1>
    </dataValidation>
    <dataValidation sqref="F5:F20004" showDropDown="0" showInputMessage="0" showErrorMessage="1" allowBlank="1" error="Pick a value from the list (add new masters on the master sheet first)." type="list" errorStyle="stop">
      <formula1>L_Accounts</formula1>
    </dataValidation>
  </dataValidations>
  <hyperlinks>
    <hyperlink xmlns:r="http://schemas.openxmlformats.org/officeDocument/2006/relationships" ref="M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AB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66" min="1" max="1"/>
    <col width="13" customWidth="1" style="66" min="2" max="2"/>
    <col width="12" customWidth="1" style="66" min="3" max="3"/>
    <col width="7" customWidth="1" style="66" min="4" max="4"/>
    <col width="9" customWidth="1" style="66" min="5" max="5"/>
    <col width="7" customWidth="1" style="80" min="6" max="6"/>
    <col width="11" customWidth="1" style="68" min="7" max="7"/>
    <col width="11" customWidth="1" style="68" min="8" max="8"/>
    <col width="9" customWidth="1" style="67" min="9" max="9"/>
    <col width="9" customWidth="1" style="67" min="10" max="10"/>
    <col width="10" customWidth="1" style="68" min="11" max="11"/>
    <col width="10" customWidth="1" style="81" min="12" max="12"/>
    <col width="9" customWidth="1" style="81" min="13" max="13"/>
    <col width="9" customWidth="1" style="81" min="14" max="14"/>
    <col width="10" customWidth="1" style="81" min="15" max="15"/>
    <col width="10" customWidth="1" style="71" min="16" max="16"/>
    <col width="12" customWidth="1" style="71" min="17" max="17"/>
    <col width="13" customWidth="1" style="70" min="18" max="18"/>
    <col width="8" customWidth="1" style="82" min="19" max="19"/>
    <col width="10" customWidth="1" style="81" min="20" max="20"/>
    <col width="12" customWidth="1" style="71" min="21" max="21"/>
    <col width="12" customWidth="1" style="71" min="22" max="22"/>
    <col width="10" customWidth="1" style="83" min="23" max="23"/>
    <col width="8" customWidth="1" style="84" min="24" max="24"/>
    <col width="8" customWidth="1" style="84" min="25" max="25"/>
    <col hidden="1" width="6" customWidth="1" style="70" min="26" max="26"/>
  </cols>
  <sheetData>
    <row r="1" ht="28" customHeight="1">
      <c r="A1" s="73" t="inlineStr">
        <is>
          <t>ITEM MASTER &amp; LIVE STOCK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B1" s="74" t="inlineStr">
        <is>
          <t>« Home</t>
        </is>
      </c>
    </row>
    <row r="2">
      <c r="A2" s="3" t="inlineStr">
        <is>
          <t>One row per product. Stock, cost, value and reorder alerts update automatically from Purchases, Sales and Adjustments.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7" t="inlineStr">
        <is>
          <t>C engine: {=_xll.ST_ITEMS(...)} fills L:Z</t>
        </is>
      </c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</row>
    <row r="4" ht="32" customHeight="1">
      <c r="A4" s="78" t="inlineStr">
        <is>
          <t>Item Name *</t>
        </is>
      </c>
      <c r="B4" s="78" t="inlineStr">
        <is>
          <t>SKU / Barcode</t>
        </is>
      </c>
      <c r="C4" s="78" t="inlineStr">
        <is>
          <t>Category</t>
        </is>
      </c>
      <c r="D4" s="78" t="inlineStr">
        <is>
          <t>Unit</t>
        </is>
      </c>
      <c r="E4" s="78" t="inlineStr">
        <is>
          <t>HSN</t>
        </is>
      </c>
      <c r="F4" s="78" t="inlineStr">
        <is>
          <t>GST %</t>
        </is>
      </c>
      <c r="G4" s="78" t="inlineStr">
        <is>
          <t>Std Purchase Rate (₹)</t>
        </is>
      </c>
      <c r="H4" s="78" t="inlineStr">
        <is>
          <t>Std Sale Rate (₹)</t>
        </is>
      </c>
      <c r="I4" s="78" t="inlineStr">
        <is>
          <t>Reorder Level</t>
        </is>
      </c>
      <c r="J4" s="78" t="inlineStr">
        <is>
          <t>Opening Qty</t>
        </is>
      </c>
      <c r="K4" s="78" t="inlineStr">
        <is>
          <t>Opening Rate (₹)</t>
        </is>
      </c>
      <c r="L4" s="79" t="inlineStr">
        <is>
          <t>Purchased Qty</t>
        </is>
      </c>
      <c r="M4" s="79" t="inlineStr">
        <is>
          <t>Sold Qty</t>
        </is>
      </c>
      <c r="N4" s="79" t="inlineStr">
        <is>
          <t>Adjust Qty</t>
        </is>
      </c>
      <c r="O4" s="79" t="inlineStr">
        <is>
          <t>Closing Stock</t>
        </is>
      </c>
      <c r="P4" s="79" t="inlineStr">
        <is>
          <t>Avg Cost (₹)</t>
        </is>
      </c>
      <c r="Q4" s="79" t="inlineStr">
        <is>
          <t>Stock Value (₹)</t>
        </is>
      </c>
      <c r="R4" s="79" t="inlineStr">
        <is>
          <t>Status</t>
        </is>
      </c>
      <c r="S4" s="79" t="inlineStr">
        <is>
          <t>Margin %</t>
        </is>
      </c>
      <c r="T4" s="79" t="inlineStr">
        <is>
          <t>Suggested Order Qty</t>
        </is>
      </c>
      <c r="U4" s="79" t="inlineStr">
        <is>
          <t>Sales Value (₹)</t>
        </is>
      </c>
      <c r="V4" s="79" t="inlineStr">
        <is>
          <t>Gross Profit (₹)</t>
        </is>
      </c>
      <c r="W4" s="79" t="inlineStr">
        <is>
          <t>Last Sold</t>
        </is>
      </c>
      <c r="X4" s="79" t="inlineStr">
        <is>
          <t>Days Since Sale</t>
        </is>
      </c>
      <c r="Y4" s="79" t="inlineStr">
        <is>
          <t>Days of Cover</t>
        </is>
      </c>
      <c r="Z4" s="79" t="inlineStr">
        <is>
          <t>rank key</t>
        </is>
      </c>
    </row>
    <row r="5">
      <c r="A5" s="66" t="inlineStr">
        <is>
          <t>Basmati Rice 25kg</t>
        </is>
      </c>
      <c r="B5" s="66" t="inlineStr">
        <is>
          <t>8901001</t>
        </is>
      </c>
      <c r="C5" s="66" t="inlineStr">
        <is>
          <t>Grocery</t>
        </is>
      </c>
      <c r="D5" s="66" t="inlineStr">
        <is>
          <t>Bag</t>
        </is>
      </c>
      <c r="E5" s="66" t="inlineStr">
        <is>
          <t>1006</t>
        </is>
      </c>
      <c r="F5" s="80" t="n">
        <v>0.05</v>
      </c>
      <c r="G5" s="68" t="n">
        <v>1650</v>
      </c>
      <c r="H5" s="68" t="n">
        <v>2106</v>
      </c>
      <c r="I5" s="67" t="n">
        <v>10</v>
      </c>
      <c r="J5" s="67" t="n">
        <v>40</v>
      </c>
      <c r="K5" s="68" t="n">
        <v>1620</v>
      </c>
      <c r="L5" s="81">
        <f t="array" ref="L5:Z2004">_xll.ST_ITEMS(IN_Items,IN_Parties,IN_Purchases,IN_Sales,IN_CashBook,IN_Adjust,IN_Settings)</f>
        <v/>
      </c>
    </row>
    <row r="6">
      <c r="A6" s="66" t="inlineStr">
        <is>
          <t>Sugar 50kg</t>
        </is>
      </c>
      <c r="B6" s="66" t="inlineStr">
        <is>
          <t>8901002</t>
        </is>
      </c>
      <c r="C6" s="66" t="inlineStr">
        <is>
          <t>Grocery</t>
        </is>
      </c>
      <c r="D6" s="66" t="inlineStr">
        <is>
          <t>Bag</t>
        </is>
      </c>
      <c r="E6" s="66" t="inlineStr">
        <is>
          <t>1701</t>
        </is>
      </c>
      <c r="F6" s="80" t="n">
        <v>0.05</v>
      </c>
      <c r="G6" s="68" t="n">
        <v>2050</v>
      </c>
      <c r="H6" s="68" t="n">
        <v>2462</v>
      </c>
      <c r="I6" s="67" t="n">
        <v>8</v>
      </c>
      <c r="J6" s="67" t="n">
        <v>25</v>
      </c>
      <c r="K6" s="68" t="n">
        <v>2000</v>
      </c>
    </row>
    <row r="7">
      <c r="A7" s="66" t="inlineStr">
        <is>
          <t>Refined Oil 15L</t>
        </is>
      </c>
      <c r="B7" s="66" t="inlineStr">
        <is>
          <t>8901003</t>
        </is>
      </c>
      <c r="C7" s="66" t="inlineStr">
        <is>
          <t>Grocery</t>
        </is>
      </c>
      <c r="D7" s="66" t="inlineStr">
        <is>
          <t>Box</t>
        </is>
      </c>
      <c r="E7" s="66" t="inlineStr">
        <is>
          <t>1512</t>
        </is>
      </c>
      <c r="F7" s="80" t="n">
        <v>0.05</v>
      </c>
      <c r="G7" s="68" t="n">
        <v>1880</v>
      </c>
      <c r="H7" s="68" t="n">
        <v>2290</v>
      </c>
      <c r="I7" s="67" t="n">
        <v>10</v>
      </c>
      <c r="J7" s="67" t="n">
        <v>30</v>
      </c>
      <c r="K7" s="68" t="n">
        <v>1850</v>
      </c>
    </row>
    <row r="8">
      <c r="A8" s="66" t="inlineStr">
        <is>
          <t>Tea Premium 1kg</t>
        </is>
      </c>
      <c r="B8" s="66" t="inlineStr">
        <is>
          <t>8901004</t>
        </is>
      </c>
      <c r="C8" s="66" t="inlineStr">
        <is>
          <t>FMCG</t>
        </is>
      </c>
      <c r="D8" s="66" t="inlineStr">
        <is>
          <t>Pack</t>
        </is>
      </c>
      <c r="E8" s="66" t="inlineStr">
        <is>
          <t>0902</t>
        </is>
      </c>
      <c r="F8" s="80" t="n">
        <v>0.05</v>
      </c>
      <c r="G8" s="68" t="n">
        <v>380</v>
      </c>
      <c r="H8" s="68" t="n">
        <v>508</v>
      </c>
      <c r="I8" s="67" t="n">
        <v>20</v>
      </c>
      <c r="J8" s="67" t="n">
        <v>60</v>
      </c>
      <c r="K8" s="68" t="n">
        <v>375</v>
      </c>
    </row>
    <row r="9">
      <c r="A9" s="66" t="inlineStr">
        <is>
          <t>Detergent 5kg</t>
        </is>
      </c>
      <c r="B9" s="66" t="inlineStr">
        <is>
          <t>8901005</t>
        </is>
      </c>
      <c r="C9" s="66" t="inlineStr">
        <is>
          <t>FMCG</t>
        </is>
      </c>
      <c r="D9" s="66" t="inlineStr">
        <is>
          <t>Pack</t>
        </is>
      </c>
      <c r="E9" s="66" t="inlineStr">
        <is>
          <t>3402</t>
        </is>
      </c>
      <c r="F9" s="80" t="n">
        <v>0.18</v>
      </c>
      <c r="G9" s="68" t="n">
        <v>520</v>
      </c>
      <c r="H9" s="68" t="n">
        <v>691</v>
      </c>
      <c r="I9" s="67" t="n">
        <v>15</v>
      </c>
      <c r="J9" s="67" t="n">
        <v>50</v>
      </c>
      <c r="K9" s="68" t="n">
        <v>510</v>
      </c>
    </row>
    <row r="10">
      <c r="A10" s="66" t="inlineStr">
        <is>
          <t>Toothpaste 150g x12</t>
        </is>
      </c>
      <c r="B10" s="66" t="inlineStr">
        <is>
          <t>8901006</t>
        </is>
      </c>
      <c r="C10" s="66" t="inlineStr">
        <is>
          <t>FMCG</t>
        </is>
      </c>
      <c r="D10" s="66" t="inlineStr">
        <is>
          <t>Box</t>
        </is>
      </c>
      <c r="E10" s="66" t="inlineStr">
        <is>
          <t>3306</t>
        </is>
      </c>
      <c r="F10" s="80" t="n">
        <v>0.05</v>
      </c>
      <c r="G10" s="68" t="n">
        <v>900</v>
      </c>
      <c r="H10" s="68" t="n">
        <v>1166</v>
      </c>
      <c r="I10" s="67" t="n">
        <v>10</v>
      </c>
      <c r="J10" s="67" t="n">
        <v>25</v>
      </c>
      <c r="K10" s="68" t="n">
        <v>880</v>
      </c>
    </row>
    <row r="11">
      <c r="A11" s="66" t="inlineStr">
        <is>
          <t>LED Bulb 9W</t>
        </is>
      </c>
      <c r="B11" s="66" t="inlineStr">
        <is>
          <t>8901007</t>
        </is>
      </c>
      <c r="C11" s="66" t="inlineStr">
        <is>
          <t>Electrical</t>
        </is>
      </c>
      <c r="D11" s="66" t="inlineStr">
        <is>
          <t>Pcs</t>
        </is>
      </c>
      <c r="E11" s="66" t="inlineStr">
        <is>
          <t>8539</t>
        </is>
      </c>
      <c r="F11" s="80" t="n">
        <v>0.18</v>
      </c>
      <c r="G11" s="68" t="n">
        <v>62</v>
      </c>
      <c r="H11" s="68" t="n">
        <v>107</v>
      </c>
      <c r="I11" s="67" t="n">
        <v>100</v>
      </c>
      <c r="J11" s="67" t="n">
        <v>300</v>
      </c>
      <c r="K11" s="68" t="n">
        <v>60</v>
      </c>
    </row>
    <row r="12">
      <c r="A12" s="66" t="inlineStr">
        <is>
          <t>Copper Wire 90m</t>
        </is>
      </c>
      <c r="B12" s="66" t="inlineStr">
        <is>
          <t>8901008</t>
        </is>
      </c>
      <c r="C12" s="66" t="inlineStr">
        <is>
          <t>Electrical</t>
        </is>
      </c>
      <c r="D12" s="66" t="inlineStr">
        <is>
          <t>Pcs</t>
        </is>
      </c>
      <c r="E12" s="66" t="inlineStr">
        <is>
          <t>8544</t>
        </is>
      </c>
      <c r="F12" s="80" t="n">
        <v>0.18</v>
      </c>
      <c r="G12" s="68" t="n">
        <v>2450</v>
      </c>
      <c r="H12" s="68" t="n">
        <v>3132</v>
      </c>
      <c r="I12" s="67" t="n">
        <v>5</v>
      </c>
      <c r="J12" s="67" t="n">
        <v>12</v>
      </c>
      <c r="K12" s="68" t="n">
        <v>2400</v>
      </c>
    </row>
    <row r="13">
      <c r="A13" s="66" t="inlineStr">
        <is>
          <t>PVC Pipe 1in 6m</t>
        </is>
      </c>
      <c r="B13" s="66" t="inlineStr">
        <is>
          <t>8901009</t>
        </is>
      </c>
      <c r="C13" s="66" t="inlineStr">
        <is>
          <t>Hardware</t>
        </is>
      </c>
      <c r="D13" s="66" t="inlineStr">
        <is>
          <t>Pcs</t>
        </is>
      </c>
      <c r="E13" s="66" t="inlineStr">
        <is>
          <t>3917</t>
        </is>
      </c>
      <c r="F13" s="80" t="n">
        <v>0.18</v>
      </c>
      <c r="G13" s="68" t="n">
        <v>210</v>
      </c>
      <c r="H13" s="68" t="n">
        <v>297</v>
      </c>
      <c r="I13" s="67" t="n">
        <v>40</v>
      </c>
      <c r="J13" s="67" t="n">
        <v>120</v>
      </c>
      <c r="K13" s="68" t="n">
        <v>205</v>
      </c>
    </row>
    <row r="14">
      <c r="A14" s="66" t="inlineStr">
        <is>
          <t>Cement 50kg</t>
        </is>
      </c>
      <c r="B14" s="66" t="inlineStr">
        <is>
          <t>8901010</t>
        </is>
      </c>
      <c r="C14" s="66" t="inlineStr">
        <is>
          <t>Hardware</t>
        </is>
      </c>
      <c r="D14" s="66" t="inlineStr">
        <is>
          <t>Bag</t>
        </is>
      </c>
      <c r="E14" s="66" t="inlineStr">
        <is>
          <t>2523</t>
        </is>
      </c>
      <c r="F14" s="80" t="n">
        <v>0.18</v>
      </c>
      <c r="G14" s="68" t="n">
        <v>340</v>
      </c>
      <c r="H14" s="68" t="n">
        <v>427</v>
      </c>
      <c r="I14" s="67" t="n">
        <v>50</v>
      </c>
      <c r="J14" s="67" t="n">
        <v>200</v>
      </c>
      <c r="K14" s="68" t="n">
        <v>335</v>
      </c>
    </row>
    <row r="15">
      <c r="A15" s="66" t="inlineStr">
        <is>
          <t>A4 Paper Ream</t>
        </is>
      </c>
      <c r="B15" s="66" t="inlineStr">
        <is>
          <t>8901011</t>
        </is>
      </c>
      <c r="C15" s="66" t="inlineStr">
        <is>
          <t>Stationery</t>
        </is>
      </c>
      <c r="D15" s="66" t="inlineStr">
        <is>
          <t>Pack</t>
        </is>
      </c>
      <c r="E15" s="66" t="inlineStr">
        <is>
          <t>4802</t>
        </is>
      </c>
      <c r="F15" s="80" t="n">
        <v>0.12</v>
      </c>
      <c r="G15" s="68" t="n">
        <v>245</v>
      </c>
      <c r="H15" s="68" t="n">
        <v>335</v>
      </c>
      <c r="I15" s="67" t="n">
        <v>30</v>
      </c>
      <c r="J15" s="67" t="n">
        <v>80</v>
      </c>
      <c r="K15" s="68" t="n">
        <v>240</v>
      </c>
    </row>
    <row r="16">
      <c r="A16" s="66" t="inlineStr">
        <is>
          <t>Ceiling Fan 1200mm</t>
        </is>
      </c>
      <c r="B16" s="66" t="inlineStr">
        <is>
          <t>8901012</t>
        </is>
      </c>
      <c r="C16" s="66" t="inlineStr">
        <is>
          <t>Electrical</t>
        </is>
      </c>
      <c r="D16" s="66" t="inlineStr">
        <is>
          <t>Pcs</t>
        </is>
      </c>
      <c r="E16" s="66" t="inlineStr">
        <is>
          <t>8414</t>
        </is>
      </c>
      <c r="F16" s="80" t="n">
        <v>0.18</v>
      </c>
      <c r="G16" s="68" t="n">
        <v>1650</v>
      </c>
      <c r="H16" s="68" t="n">
        <v>2322</v>
      </c>
      <c r="I16" s="67" t="n">
        <v>5</v>
      </c>
      <c r="J16" s="67" t="n">
        <v>4</v>
      </c>
      <c r="K16" s="68" t="n">
        <v>1600</v>
      </c>
    </row>
  </sheetData>
  <autoFilter ref="A4:Z2004"/>
  <mergeCells count="2">
    <mergeCell ref="A1:Z1"/>
    <mergeCell ref="A2:Z2"/>
  </mergeCells>
  <conditionalFormatting sqref="R5:R2004">
    <cfRule type="cellIs" priority="1" operator="equal" dxfId="5">
      <formula>"NEGATIVE"</formula>
    </cfRule>
    <cfRule type="cellIs" priority="2" operator="equal" dxfId="3">
      <formula>"OUT OF STOCK"</formula>
    </cfRule>
    <cfRule type="cellIs" priority="3" operator="equal" dxfId="4">
      <formula>"REORDER"</formula>
    </cfRule>
    <cfRule type="cellIs" priority="4" operator="equal" dxfId="6">
      <formula>"DEAD STOCK"</formula>
    </cfRule>
    <cfRule type="cellIs" priority="5" operator="equal" dxfId="9">
      <formula>"OK"</formula>
    </cfRule>
  </conditionalFormatting>
  <dataValidations count="4">
    <dataValidation sqref="C5:C2004" showDropDown="0" showInputMessage="0" showErrorMessage="1" allowBlank="1" error="Pick a value from the list (add new masters on the master sheet first)." type="list" errorStyle="stop">
      <formula1>L_Categories</formula1>
    </dataValidation>
    <dataValidation sqref="D5:D2004" showDropDown="0" showInputMessage="0" showErrorMessage="1" allowBlank="1" error="Pick a value from the list (add new masters on the master sheet first)." type="list" errorStyle="stop">
      <formula1>L_Units</formula1>
    </dataValidation>
    <dataValidation sqref="F5:F2004" showDropDown="0" showInputMessage="0" showErrorMessage="1" allowBlank="1" error="Pick a value from the list (add new masters on the master sheet first)." type="list" errorStyle="stop">
      <formula1>L_GSTRates</formula1>
    </dataValidation>
    <dataValidation sqref="A5:A2004" showDropDown="0" showInputMessage="0" showErrorMessage="1" allowBlank="1" error="This item name already exists. Item names must be unique." type="custom">
      <formula1>COUNTIF($A$5:$A$2004,A5)=1</formula1>
    </dataValidation>
  </dataValidations>
  <hyperlinks>
    <hyperlink xmlns:r="http://schemas.openxmlformats.org/officeDocument/2006/relationships" ref="AB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6C00"/>
    <outlinePr summaryBelow="1" summaryRight="1"/>
    <pageSetUpPr/>
  </sheetPr>
  <dimension ref="A1:U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66" min="1" max="1"/>
    <col width="10" customWidth="1" style="66" min="2" max="2"/>
    <col width="13" customWidth="1" style="66" min="3" max="3"/>
    <col width="17" customWidth="1" style="66" min="4" max="4"/>
    <col width="15" customWidth="1" style="66" min="5" max="5"/>
    <col width="24" customWidth="1" style="66" min="6" max="6"/>
    <col width="11" customWidth="1" style="85" min="7" max="7"/>
    <col width="8" customWidth="1" style="86" min="8" max="8"/>
    <col width="12" customWidth="1" style="68" min="9" max="9"/>
    <col width="12" customWidth="1" style="71" min="10" max="10"/>
    <col width="12" customWidth="1" style="71" min="11" max="11"/>
    <col width="12" customWidth="1" style="71" min="12" max="12"/>
    <col width="12" customWidth="1" style="71" min="13" max="13"/>
    <col width="13" customWidth="1" style="71" min="14" max="14"/>
    <col width="11" customWidth="1" style="70" min="15" max="15"/>
    <col width="10" customWidth="1" style="83" min="16" max="16"/>
    <col width="10" customWidth="1" style="83" min="17" max="17"/>
    <col width="8" customWidth="1" style="84" min="18" max="18"/>
    <col width="14" customWidth="1" style="70" min="19" max="19"/>
  </cols>
  <sheetData>
    <row r="1" ht="28" customHeight="1">
      <c r="A1" s="73" t="inlineStr">
        <is>
          <t>CUSTOMERS &amp; SUPPLIERS (PARTY LEDGER)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Balance &gt; 0 means the party owes you (receivable); &lt; 0 means you owe them (payable).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{=_xll.ST_PARTIES(...)} fills J:S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Party Name *</t>
        </is>
      </c>
      <c r="B4" s="78" t="inlineStr">
        <is>
          <t>Type</t>
        </is>
      </c>
      <c r="C4" s="78" t="inlineStr">
        <is>
          <t>Phone</t>
        </is>
      </c>
      <c r="D4" s="78" t="inlineStr">
        <is>
          <t>GSTIN</t>
        </is>
      </c>
      <c r="E4" s="78" t="inlineStr">
        <is>
          <t>State</t>
        </is>
      </c>
      <c r="F4" s="78" t="inlineStr">
        <is>
          <t>Address</t>
        </is>
      </c>
      <c r="G4" s="78" t="inlineStr">
        <is>
          <t>Credit Limit (₹)</t>
        </is>
      </c>
      <c r="H4" s="78" t="inlineStr">
        <is>
          <t>Credit Days</t>
        </is>
      </c>
      <c r="I4" s="78" t="inlineStr">
        <is>
          <t>Opening Bal (₹) +recv / -pay</t>
        </is>
      </c>
      <c r="J4" s="79" t="inlineStr">
        <is>
          <t>Credit Sales (₹)</t>
        </is>
      </c>
      <c r="K4" s="79" t="inlineStr">
        <is>
          <t>Received (₹)</t>
        </is>
      </c>
      <c r="L4" s="79" t="inlineStr">
        <is>
          <t>Credit Purchases (₹)</t>
        </is>
      </c>
      <c r="M4" s="79" t="inlineStr">
        <is>
          <t>Paid (₹)</t>
        </is>
      </c>
      <c r="N4" s="79" t="inlineStr">
        <is>
          <t>Balance (₹)</t>
        </is>
      </c>
      <c r="O4" s="79" t="inlineStr">
        <is>
          <t>Position</t>
        </is>
      </c>
      <c r="P4" s="79" t="inlineStr">
        <is>
          <t>Last Sale</t>
        </is>
      </c>
      <c r="Q4" s="79" t="inlineStr">
        <is>
          <t>Last Receipt</t>
        </is>
      </c>
      <c r="R4" s="79" t="inlineStr">
        <is>
          <t>Days Unpaid</t>
        </is>
      </c>
      <c r="S4" s="79" t="inlineStr">
        <is>
          <t>Alert</t>
        </is>
      </c>
    </row>
    <row r="5">
      <c r="A5" s="66" t="inlineStr">
        <is>
          <t>Sharma Kirana Store</t>
        </is>
      </c>
      <c r="B5" s="66" t="inlineStr">
        <is>
          <t>Customer</t>
        </is>
      </c>
      <c r="C5" s="66" t="inlineStr">
        <is>
          <t>9810000001</t>
        </is>
      </c>
      <c r="D5" s="66" t="inlineStr">
        <is>
          <t>08AAAPS1111A1Z1</t>
        </is>
      </c>
      <c r="E5" s="66" t="inlineStr">
        <is>
          <t>Rajasthan</t>
        </is>
      </c>
      <c r="F5" s="66" t="inlineStr">
        <is>
          <t>Jaipur</t>
        </is>
      </c>
      <c r="G5" s="85" t="n">
        <v>50000</v>
      </c>
      <c r="H5" s="86" t="n">
        <v>15</v>
      </c>
      <c r="I5" s="68" t="n">
        <v>12000</v>
      </c>
      <c r="J5" s="71">
        <f t="array" ref="J5:S1004">_xll.ST_PARTIES(IN_Items,IN_Parties,IN_Purchases,IN_Sales,IN_CashBook,IN_Adjust,IN_Settings)</f>
        <v/>
      </c>
    </row>
    <row r="6">
      <c r="A6" s="66" t="inlineStr">
        <is>
          <t>Gupta Electricals</t>
        </is>
      </c>
      <c r="B6" s="66" t="inlineStr">
        <is>
          <t>Customer</t>
        </is>
      </c>
      <c r="C6" s="66" t="inlineStr">
        <is>
          <t>9810000002</t>
        </is>
      </c>
      <c r="D6" s="66" t="inlineStr">
        <is>
          <t>08AAAPG2222B1Z2</t>
        </is>
      </c>
      <c r="E6" s="66" t="inlineStr">
        <is>
          <t>Rajasthan</t>
        </is>
      </c>
      <c r="F6" s="66" t="inlineStr">
        <is>
          <t>Ajmer</t>
        </is>
      </c>
      <c r="G6" s="85" t="n">
        <v>80000</v>
      </c>
      <c r="H6" s="86" t="n">
        <v>30</v>
      </c>
      <c r="I6" s="68" t="n">
        <v>0</v>
      </c>
    </row>
    <row r="7">
      <c r="A7" s="66" t="inlineStr">
        <is>
          <t>Delhi Hardware Mart</t>
        </is>
      </c>
      <c r="B7" s="66" t="inlineStr">
        <is>
          <t>Customer</t>
        </is>
      </c>
      <c r="C7" s="66" t="inlineStr">
        <is>
          <t>9810000003</t>
        </is>
      </c>
      <c r="D7" s="66" t="inlineStr">
        <is>
          <t>07AAAPD3333C1Z3</t>
        </is>
      </c>
      <c r="E7" s="66" t="inlineStr">
        <is>
          <t>Delhi</t>
        </is>
      </c>
      <c r="F7" s="66" t="inlineStr">
        <is>
          <t>Karol Bagh, Delhi</t>
        </is>
      </c>
      <c r="G7" s="85" t="n">
        <v>100000</v>
      </c>
      <c r="H7" s="86" t="n">
        <v>30</v>
      </c>
      <c r="I7" s="68" t="n">
        <v>0</v>
      </c>
    </row>
    <row r="8">
      <c r="A8" s="66" t="inlineStr">
        <is>
          <t>Walk-in Customer</t>
        </is>
      </c>
      <c r="B8" s="66" t="inlineStr">
        <is>
          <t>Customer</t>
        </is>
      </c>
      <c r="C8" s="66" t="inlineStr"/>
      <c r="D8" s="66" t="inlineStr"/>
      <c r="E8" s="66" t="inlineStr">
        <is>
          <t>Rajasthan</t>
        </is>
      </c>
      <c r="F8" s="66" t="inlineStr"/>
      <c r="G8" s="85" t="n">
        <v>0</v>
      </c>
      <c r="H8" s="86" t="n">
        <v>0</v>
      </c>
      <c r="I8" s="68" t="n">
        <v>0</v>
      </c>
    </row>
    <row r="9">
      <c r="A9" s="66" t="inlineStr">
        <is>
          <t>Mehta Constructions</t>
        </is>
      </c>
      <c r="B9" s="66" t="inlineStr">
        <is>
          <t>Customer</t>
        </is>
      </c>
      <c r="C9" s="66" t="inlineStr">
        <is>
          <t>9810000005</t>
        </is>
      </c>
      <c r="D9" s="66" t="inlineStr">
        <is>
          <t>08AAAPM5555E1Z5</t>
        </is>
      </c>
      <c r="E9" s="66" t="inlineStr">
        <is>
          <t>Rajasthan</t>
        </is>
      </c>
      <c r="F9" s="66" t="inlineStr">
        <is>
          <t>Jodhpur</t>
        </is>
      </c>
      <c r="G9" s="85" t="n">
        <v>60000</v>
      </c>
      <c r="H9" s="86" t="n">
        <v>21</v>
      </c>
      <c r="I9" s="68" t="n">
        <v>8000</v>
      </c>
    </row>
    <row r="10">
      <c r="A10" s="66" t="inlineStr">
        <is>
          <t>Agro Foods Pvt Ltd</t>
        </is>
      </c>
      <c r="B10" s="66" t="inlineStr">
        <is>
          <t>Supplier</t>
        </is>
      </c>
      <c r="C10" s="66" t="inlineStr">
        <is>
          <t>9810000006</t>
        </is>
      </c>
      <c r="D10" s="66" t="inlineStr">
        <is>
          <t>08AABCA6666F1Z6</t>
        </is>
      </c>
      <c r="E10" s="66" t="inlineStr">
        <is>
          <t>Rajasthan</t>
        </is>
      </c>
      <c r="F10" s="66" t="inlineStr">
        <is>
          <t>Kota</t>
        </is>
      </c>
      <c r="G10" s="85" t="n">
        <v>0</v>
      </c>
      <c r="H10" s="86" t="n">
        <v>30</v>
      </c>
      <c r="I10" s="68" t="n">
        <v>-25000</v>
      </c>
    </row>
    <row r="11">
      <c r="A11" s="66" t="inlineStr">
        <is>
          <t>Bharat Electric Co</t>
        </is>
      </c>
      <c r="B11" s="66" t="inlineStr">
        <is>
          <t>Supplier</t>
        </is>
      </c>
      <c r="C11" s="66" t="inlineStr">
        <is>
          <t>9810000007</t>
        </is>
      </c>
      <c r="D11" s="66" t="inlineStr">
        <is>
          <t>27AABCB7777G1Z7</t>
        </is>
      </c>
      <c r="E11" s="66" t="inlineStr">
        <is>
          <t>Maharashtra</t>
        </is>
      </c>
      <c r="F11" s="66" t="inlineStr">
        <is>
          <t>Mumbai</t>
        </is>
      </c>
      <c r="G11" s="85" t="n">
        <v>0</v>
      </c>
      <c r="H11" s="86" t="n">
        <v>45</v>
      </c>
      <c r="I11" s="68" t="n">
        <v>0</v>
      </c>
    </row>
    <row r="12">
      <c r="A12" s="66" t="inlineStr">
        <is>
          <t>National Hardware Supply</t>
        </is>
      </c>
      <c r="B12" s="66" t="inlineStr">
        <is>
          <t>Supplier</t>
        </is>
      </c>
      <c r="C12" s="66" t="inlineStr">
        <is>
          <t>9810000008</t>
        </is>
      </c>
      <c r="D12" s="66" t="inlineStr">
        <is>
          <t>08AABCN8888H1Z8</t>
        </is>
      </c>
      <c r="E12" s="66" t="inlineStr">
        <is>
          <t>Rajasthan</t>
        </is>
      </c>
      <c r="F12" s="66" t="inlineStr">
        <is>
          <t>Jaipur</t>
        </is>
      </c>
      <c r="G12" s="85" t="n">
        <v>0</v>
      </c>
      <c r="H12" s="86" t="n">
        <v>30</v>
      </c>
      <c r="I12" s="68" t="n">
        <v>0</v>
      </c>
    </row>
    <row r="13">
      <c r="A13" s="66" t="inlineStr">
        <is>
          <t>FMCG Distributors</t>
        </is>
      </c>
      <c r="B13" s="66" t="inlineStr">
        <is>
          <t>Both</t>
        </is>
      </c>
      <c r="C13" s="66" t="inlineStr">
        <is>
          <t>9810000009</t>
        </is>
      </c>
      <c r="D13" s="66" t="inlineStr">
        <is>
          <t>08AABCF9999J1Z9</t>
        </is>
      </c>
      <c r="E13" s="66" t="inlineStr">
        <is>
          <t>Rajasthan</t>
        </is>
      </c>
      <c r="F13" s="66" t="inlineStr">
        <is>
          <t>Jaipur</t>
        </is>
      </c>
      <c r="G13" s="85" t="n">
        <v>40000</v>
      </c>
      <c r="H13" s="86" t="n">
        <v>15</v>
      </c>
      <c r="I13" s="68" t="n">
        <v>0</v>
      </c>
    </row>
  </sheetData>
  <autoFilter ref="A4:S1004"/>
  <mergeCells count="2">
    <mergeCell ref="A2:S2"/>
    <mergeCell ref="A1:S1"/>
  </mergeCells>
  <conditionalFormatting sqref="S5:S1004">
    <cfRule type="cellIs" priority="1" operator="equal" dxfId="5">
      <formula>"OVER LIMIT"</formula>
    </cfRule>
    <cfRule type="cellIs" priority="2" operator="equal" dxfId="3">
      <formula>"OVERDUE"</formula>
    </cfRule>
    <cfRule type="cellIs" priority="3" operator="equal" dxfId="4">
      <formula>"PAY DUE"</formula>
    </cfRule>
  </conditionalFormatting>
  <dataValidations count="3">
    <dataValidation sqref="B5:B1004" showDropDown="0" showInputMessage="0" showErrorMessage="1" allowBlank="1" error="Pick a value from the list (add new masters on the master sheet first)." type="list" errorStyle="stop">
      <formula1>L_PartyTypes</formula1>
    </dataValidation>
    <dataValidation sqref="E5:E1004" showDropDown="0" showInputMessage="0" showErrorMessage="1" allowBlank="1" error="Pick a value from the list (add new masters on the master sheet first)." type="list" errorStyle="stop">
      <formula1>L_States</formula1>
    </dataValidation>
    <dataValidation sqref="A5:A1004" showDropDown="0" showInputMessage="0" showErrorMessage="1" allowBlank="1" error="This party already exists. Party names must be unique." type="custom">
      <formula1>COUNTIF($A$5:$A$1004,A5)=1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D4C41"/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26" customWidth="1" style="66" min="2" max="2"/>
    <col width="11" customWidth="1" style="67" min="3" max="3"/>
    <col width="16" customWidth="1" style="66" min="4" max="4"/>
    <col width="28" customWidth="1" style="66" min="5" max="5"/>
    <col width="11" customWidth="1" style="71" min="6" max="6"/>
    <col width="13" customWidth="1" style="71" min="7" max="7"/>
  </cols>
  <sheetData>
    <row r="1" ht="28" customHeight="1">
      <c r="A1" s="73" t="inlineStr">
        <is>
          <t>STOCK ADJUSTMENTS</t>
        </is>
      </c>
      <c r="B1" s="1" t="n"/>
      <c r="C1" s="1" t="n"/>
      <c r="D1" s="1" t="n"/>
      <c r="E1" s="1" t="n"/>
      <c r="F1" s="1" t="n"/>
      <c r="G1" s="1" t="n"/>
      <c r="I1" s="74" t="inlineStr">
        <is>
          <t>« Home</t>
        </is>
      </c>
    </row>
    <row r="2">
      <c r="A2" s="3" t="inlineStr">
        <is>
          <t>Damage, expiry, physical-count corrections, returns. Negative qty reduces stock and is booked as a loss.</t>
        </is>
      </c>
      <c r="B2" s="1" t="n"/>
      <c r="C2" s="1" t="n"/>
      <c r="D2" s="1" t="n"/>
      <c r="E2" s="1" t="n"/>
      <c r="F2" s="1" t="n"/>
      <c r="G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7" t="inlineStr">
        <is>
          <t>C engine: {=_xll.ST_ADJUST(...)} fills F:G</t>
        </is>
      </c>
      <c r="G3" s="76" t="n"/>
    </row>
    <row r="4" ht="32" customHeight="1">
      <c r="A4" s="78" t="inlineStr">
        <is>
          <t>Date *</t>
        </is>
      </c>
      <c r="B4" s="78" t="inlineStr">
        <is>
          <t>Item *</t>
        </is>
      </c>
      <c r="C4" s="78" t="inlineStr">
        <is>
          <t>Qty (+in / -out) *</t>
        </is>
      </c>
      <c r="D4" s="78" t="inlineStr">
        <is>
          <t>Reason *</t>
        </is>
      </c>
      <c r="E4" s="78" t="inlineStr">
        <is>
          <t>Notes</t>
        </is>
      </c>
      <c r="F4" s="79" t="inlineStr">
        <is>
          <t>Avg Cost (₹)</t>
        </is>
      </c>
      <c r="G4" s="79" t="inlineStr">
        <is>
          <t>Value Impact (₹)</t>
        </is>
      </c>
    </row>
    <row r="5">
      <c r="A5" s="65" t="n">
        <v>46162</v>
      </c>
      <c r="B5" s="66" t="inlineStr">
        <is>
          <t>Refined Oil 15L</t>
        </is>
      </c>
      <c r="C5" s="67" t="n">
        <v>-2</v>
      </c>
      <c r="D5" s="66" t="inlineStr">
        <is>
          <t>Damage</t>
        </is>
      </c>
      <c r="E5" s="66" t="inlineStr">
        <is>
          <t>Leaking tins</t>
        </is>
      </c>
      <c r="F5" s="71">
        <f t="array" ref="F5:G2004">_xll.ST_ADJUST(IN_Items,IN_Parties,IN_Purchases,IN_Sales,IN_CashBook,IN_Adjust,IN_Settings)</f>
        <v/>
      </c>
    </row>
    <row r="6">
      <c r="A6" s="65" t="n">
        <v>46205</v>
      </c>
      <c r="B6" s="66" t="inlineStr">
        <is>
          <t>LED Bulb 9W</t>
        </is>
      </c>
      <c r="C6" s="67" t="n">
        <v>-6</v>
      </c>
      <c r="D6" s="66" t="inlineStr">
        <is>
          <t>Count Correction</t>
        </is>
      </c>
      <c r="E6" s="66" t="inlineStr">
        <is>
          <t>Physical count</t>
        </is>
      </c>
    </row>
    <row r="7">
      <c r="A7" s="65" t="n">
        <v>46275</v>
      </c>
      <c r="B7" s="66" t="inlineStr">
        <is>
          <t>Basmati Rice 25kg</t>
        </is>
      </c>
      <c r="C7" s="67" t="n">
        <v>1</v>
      </c>
      <c r="D7" s="66" t="inlineStr">
        <is>
          <t>Sales Return</t>
        </is>
      </c>
      <c r="E7" s="66" t="inlineStr">
        <is>
          <t>Returned by Sharma Kirana</t>
        </is>
      </c>
    </row>
  </sheetData>
  <autoFilter ref="A4:G2004"/>
  <mergeCells count="2">
    <mergeCell ref="A2:G2"/>
    <mergeCell ref="A1:G1"/>
  </mergeCells>
  <dataValidations count="2">
    <dataValidation sqref="B5:B2004" showDropDown="0" showInputMessage="0" showErrorMessage="1" allowBlank="1" error="Pick a value from the list (add new masters on the master sheet first)." type="list" errorStyle="stop">
      <formula1>L_Items</formula1>
    </dataValidation>
    <dataValidation sqref="D5:D2004" showDropDown="0" showInputMessage="0" showErrorMessage="1" allowBlank="1" error="Pick a value from the list (add new masters on the master sheet first)." type="list" errorStyle="stop">
      <formula1>L_AdjReasons</formula1>
    </dataValidation>
  </dataValidation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 fitToPage="1"/>
  </sheetPr>
  <dimension ref="A1:M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7" customWidth="1" min="4" max="4"/>
    <col width="7" customWidth="1" min="5" max="5"/>
    <col width="11" customWidth="1" min="6" max="6"/>
    <col width="8" customWidth="1" min="7" max="7"/>
    <col width="13" customWidth="1" min="8" max="8"/>
    <col width="7" customWidth="1" min="9" max="9"/>
    <col width="12" customWidth="1" min="10" max="10"/>
    <col width="14" customWidth="1" min="11" max="11"/>
  </cols>
  <sheetData>
    <row r="1">
      <c r="A1" s="87">
        <f>CoName</f>
        <v/>
      </c>
    </row>
    <row r="2">
      <c r="A2" s="88">
        <f>CoAddr&amp;"  ·  "&amp;CoPhone</f>
        <v/>
      </c>
    </row>
    <row r="3">
      <c r="A3" s="88">
        <f>"GSTIN: "&amp;CoGSTIN&amp;"  ·  State: "&amp;HomeState</f>
        <v/>
      </c>
      <c r="M3" s="74" t="inlineStr">
        <is>
          <t>« Home</t>
        </is>
      </c>
    </row>
    <row r="5">
      <c r="A5" s="89" t="inlineStr">
        <is>
          <t>TAX INVOICE / DELIVERY CHALLAN</t>
        </is>
      </c>
    </row>
    <row r="7">
      <c r="B7" s="5" t="inlineStr">
        <is>
          <t>Invoice No &gt; (type to reprint)</t>
        </is>
      </c>
      <c r="C7" s="90">
        <f>IF(COUNTA(Sales!$B$5:INDEX(Sales!$B$5:$B$20004,TxRows))=0,"",INDEX(Sales!$B$5:INDEX(Sales!$B$5:$B$20004,TxRows),COUNTA(Sales!$B$5:INDEX(Sales!$B$5:$B$20004,TxRows))))</f>
        <v/>
      </c>
      <c r="G7" s="5" t="inlineStr">
        <is>
          <t>Bill To</t>
        </is>
      </c>
      <c r="H7" s="91">
        <f>IFERROR(INDEX(Sales!$C$5:INDEX(Sales!$C$5:$C$20004,TxRows),MATCH($C$7,Sales!$B$5:INDEX(Sales!$B$5:$B$20004,TxRows),0)),"")</f>
        <v/>
      </c>
    </row>
    <row r="8">
      <c r="B8" s="5" t="inlineStr">
        <is>
          <t>Invoice Date</t>
        </is>
      </c>
      <c r="C8" s="92">
        <f>IFERROR(INDEX(Sales!$A$5:INDEX(Sales!$A$5:$A$20004,TxRows),MATCH($C$7,Sales!$B$5:INDEX(Sales!$B$5:$B$20004,TxRows),0)),"")</f>
        <v/>
      </c>
      <c r="G8" s="5" t="inlineStr">
        <is>
          <t>GSTIN</t>
        </is>
      </c>
      <c r="H8">
        <f>IFERROR(INDEX(Parties!$D$5:$D$1004,MATCH($H$7,Parties!$A$5:$A$1004,0))&amp;"","")</f>
        <v/>
      </c>
    </row>
    <row r="9">
      <c r="B9" s="5" t="inlineStr">
        <is>
          <t>Payment</t>
        </is>
      </c>
      <c r="C9">
        <f>IFERROR(IF(INDEX(Sales!$H$5:INDEX(Sales!$H$5:$H$20004,TxRows),MATCH($C$7,Sales!$B$5:INDEX(Sales!$B$5:$B$20004,TxRows),0))="","Credit",INDEX(Sales!$H$5:INDEX(Sales!$H$5:$H$20004,TxRows),MATCH($C$7,Sales!$B$5:INDEX(Sales!$B$5:$B$20004,TxRows),0))),"")</f>
        <v/>
      </c>
      <c r="G9" s="5" t="inlineStr">
        <is>
          <t>State</t>
        </is>
      </c>
      <c r="H9">
        <f>IFERROR(INDEX(Parties!$E$5:$E$1004,MATCH($H$7,Parties!$A$5:$A$1004,0))&amp;"","")</f>
        <v/>
      </c>
    </row>
    <row r="10">
      <c r="G10" s="5" t="inlineStr">
        <is>
          <t>Address</t>
        </is>
      </c>
      <c r="H10">
        <f>IFERROR(INDEX(Parties!$F$5:$F$1004,MATCH($H$7,Parties!$A$5:$A$1004,0))&amp;"","")</f>
        <v/>
      </c>
    </row>
    <row r="12">
      <c r="A12" s="78" t="inlineStr">
        <is>
          <t>#</t>
        </is>
      </c>
      <c r="B12" s="78" t="inlineStr">
        <is>
          <t>Item</t>
        </is>
      </c>
      <c r="C12" s="78" t="inlineStr">
        <is>
          <t>HSN</t>
        </is>
      </c>
      <c r="D12" s="78" t="inlineStr">
        <is>
          <t>Qty</t>
        </is>
      </c>
      <c r="E12" s="78" t="inlineStr">
        <is>
          <t>Unit</t>
        </is>
      </c>
      <c r="F12" s="78" t="inlineStr">
        <is>
          <t>Rate (₹)</t>
        </is>
      </c>
      <c r="G12" s="78" t="inlineStr">
        <is>
          <t>Disc %</t>
        </is>
      </c>
      <c r="H12" s="78" t="inlineStr">
        <is>
          <t>Taxable (₹)</t>
        </is>
      </c>
      <c r="I12" s="78" t="inlineStr">
        <is>
          <t>GST %</t>
        </is>
      </c>
      <c r="J12" s="78" t="inlineStr">
        <is>
          <t>Tax (₹)</t>
        </is>
      </c>
      <c r="K12" s="78" t="inlineStr">
        <is>
          <t>Amount (₹)</t>
        </is>
      </c>
    </row>
    <row r="13">
      <c r="A13" s="93">
        <f>IF(IFERROR(INDEX(Sales!$B$5:INDEX(Sales!$B$5:$B$20004,TxRows),(MATCH($C$7,Sales!$B$5:INDEX(Sales!$B$5:$B$20004,TxRows),0)+0))=$C$7,FALSE),1,"")</f>
        <v/>
      </c>
      <c r="B13" s="93">
        <f>IF($A13="","",INDEX(Sales!$D$5:INDEX(Sales!$D$5:$D$20004,TxRows),(MATCH($C$7,Sales!$B$5:INDEX(Sales!$B$5:$B$20004,TxRows),0)+0)))</f>
        <v/>
      </c>
      <c r="C13" s="93">
        <f>IF($A13="","",IFERROR(INDEX(Items!$E$5:$E$2004,INDEX(Sales!$U$5:INDEX(Sales!$U$5:$U$20004,TxRows),(MATCH($C$7,Sales!$B$5:INDEX(Sales!$B$5:$B$20004,TxRows),0)+0)))&amp;"",""))</f>
        <v/>
      </c>
      <c r="D13" s="94">
        <f>IF($A13="","",INDEX(Sales!$E$5:INDEX(Sales!$E$5:$E$20004,TxRows),(MATCH($C$7,Sales!$B$5:INDEX(Sales!$B$5:$B$20004,TxRows),0)+0)))</f>
        <v/>
      </c>
      <c r="E13" s="93">
        <f>IF($A13="","",INDEX(Sales!$J$5:INDEX(Sales!$J$5:$J$20004,TxRows),(MATCH($C$7,Sales!$B$5:INDEX(Sales!$B$5:$B$20004,TxRows),0)+0)))</f>
        <v/>
      </c>
      <c r="F13" s="95">
        <f>IF($A13="","",INDEX(Sales!$K$5:INDEX(Sales!$K$5:$K$20004,TxRows),(MATCH($C$7,Sales!$B$5:INDEX(Sales!$B$5:$B$20004,TxRows),0)+0)))</f>
        <v/>
      </c>
      <c r="G13" s="96">
        <f>IF($A13="","",N(INDEX(Sales!$G$5:INDEX(Sales!$G$5:$G$20004,TxRows),(MATCH($C$7,Sales!$B$5:INDEX(Sales!$B$5:$B$20004,TxRows),0)+0))))</f>
        <v/>
      </c>
      <c r="H13" s="95">
        <f>IF($A13="","",INDEX(Sales!$L$5:INDEX(Sales!$L$5:$L$20004,TxRows),(MATCH($C$7,Sales!$B$5:INDEX(Sales!$B$5:$B$20004,TxRows),0)+0)))</f>
        <v/>
      </c>
      <c r="I13" s="97">
        <f>IF($A13="","",INDEX(Sales!$M$5:INDEX(Sales!$M$5:$M$20004,TxRows),(MATCH($C$7,Sales!$B$5:INDEX(Sales!$B$5:$B$20004,TxRows),0)+0)))</f>
        <v/>
      </c>
      <c r="J13" s="95">
        <f>IF($A13="","",INDEX(Sales!$N$5:INDEX(Sales!$N$5:$N$20004,TxRows),(MATCH($C$7,Sales!$B$5:INDEX(Sales!$B$5:$B$20004,TxRows),0)+0))+INDEX(Sales!$O$5:INDEX(Sales!$O$5:$O$20004,TxRows),(MATCH($C$7,Sales!$B$5:INDEX(Sales!$B$5:$B$20004,TxRows),0)+0))+INDEX(Sales!$P$5:INDEX(Sales!$P$5:$P$20004,TxRows),(MATCH($C$7,Sales!$B$5:INDEX(Sales!$B$5:$B$20004,TxRows),0)+0)))</f>
        <v/>
      </c>
      <c r="K13" s="95">
        <f>IF($A13="","",INDEX(Sales!$Q$5:INDEX(Sales!$Q$5:$Q$20004,TxRows),(MATCH($C$7,Sales!$B$5:INDEX(Sales!$B$5:$B$20004,TxRows),0)+0)))</f>
        <v/>
      </c>
    </row>
    <row r="14">
      <c r="A14" s="93">
        <f>IF(IFERROR(INDEX(Sales!$B$5:INDEX(Sales!$B$5:$B$20004,TxRows),(MATCH($C$7,Sales!$B$5:INDEX(Sales!$B$5:$B$20004,TxRows),0)+1))=$C$7,FALSE),2,"")</f>
        <v/>
      </c>
      <c r="B14" s="93">
        <f>IF($A14="","",INDEX(Sales!$D$5:INDEX(Sales!$D$5:$D$20004,TxRows),(MATCH($C$7,Sales!$B$5:INDEX(Sales!$B$5:$B$20004,TxRows),0)+1)))</f>
        <v/>
      </c>
      <c r="C14" s="93">
        <f>IF($A14="","",IFERROR(INDEX(Items!$E$5:$E$2004,INDEX(Sales!$U$5:INDEX(Sales!$U$5:$U$20004,TxRows),(MATCH($C$7,Sales!$B$5:INDEX(Sales!$B$5:$B$20004,TxRows),0)+1)))&amp;"",""))</f>
        <v/>
      </c>
      <c r="D14" s="94">
        <f>IF($A14="","",INDEX(Sales!$E$5:INDEX(Sales!$E$5:$E$20004,TxRows),(MATCH($C$7,Sales!$B$5:INDEX(Sales!$B$5:$B$20004,TxRows),0)+1)))</f>
        <v/>
      </c>
      <c r="E14" s="93">
        <f>IF($A14="","",INDEX(Sales!$J$5:INDEX(Sales!$J$5:$J$20004,TxRows),(MATCH($C$7,Sales!$B$5:INDEX(Sales!$B$5:$B$20004,TxRows),0)+1)))</f>
        <v/>
      </c>
      <c r="F14" s="95">
        <f>IF($A14="","",INDEX(Sales!$K$5:INDEX(Sales!$K$5:$K$20004,TxRows),(MATCH($C$7,Sales!$B$5:INDEX(Sales!$B$5:$B$20004,TxRows),0)+1)))</f>
        <v/>
      </c>
      <c r="G14" s="96">
        <f>IF($A14="","",N(INDEX(Sales!$G$5:INDEX(Sales!$G$5:$G$20004,TxRows),(MATCH($C$7,Sales!$B$5:INDEX(Sales!$B$5:$B$20004,TxRows),0)+1))))</f>
        <v/>
      </c>
      <c r="H14" s="95">
        <f>IF($A14="","",INDEX(Sales!$L$5:INDEX(Sales!$L$5:$L$20004,TxRows),(MATCH($C$7,Sales!$B$5:INDEX(Sales!$B$5:$B$20004,TxRows),0)+1)))</f>
        <v/>
      </c>
      <c r="I14" s="97">
        <f>IF($A14="","",INDEX(Sales!$M$5:INDEX(Sales!$M$5:$M$20004,TxRows),(MATCH($C$7,Sales!$B$5:INDEX(Sales!$B$5:$B$20004,TxRows),0)+1)))</f>
        <v/>
      </c>
      <c r="J14" s="95">
        <f>IF($A14="","",INDEX(Sales!$N$5:INDEX(Sales!$N$5:$N$20004,TxRows),(MATCH($C$7,Sales!$B$5:INDEX(Sales!$B$5:$B$20004,TxRows),0)+1))+INDEX(Sales!$O$5:INDEX(Sales!$O$5:$O$20004,TxRows),(MATCH($C$7,Sales!$B$5:INDEX(Sales!$B$5:$B$20004,TxRows),0)+1))+INDEX(Sales!$P$5:INDEX(Sales!$P$5:$P$20004,TxRows),(MATCH($C$7,Sales!$B$5:INDEX(Sales!$B$5:$B$20004,TxRows),0)+1)))</f>
        <v/>
      </c>
      <c r="K14" s="95">
        <f>IF($A14="","",INDEX(Sales!$Q$5:INDEX(Sales!$Q$5:$Q$20004,TxRows),(MATCH($C$7,Sales!$B$5:INDEX(Sales!$B$5:$B$20004,TxRows),0)+1)))</f>
        <v/>
      </c>
    </row>
    <row r="15">
      <c r="A15" s="93">
        <f>IF(IFERROR(INDEX(Sales!$B$5:INDEX(Sales!$B$5:$B$20004,TxRows),(MATCH($C$7,Sales!$B$5:INDEX(Sales!$B$5:$B$20004,TxRows),0)+2))=$C$7,FALSE),3,"")</f>
        <v/>
      </c>
      <c r="B15" s="93">
        <f>IF($A15="","",INDEX(Sales!$D$5:INDEX(Sales!$D$5:$D$20004,TxRows),(MATCH($C$7,Sales!$B$5:INDEX(Sales!$B$5:$B$20004,TxRows),0)+2)))</f>
        <v/>
      </c>
      <c r="C15" s="93">
        <f>IF($A15="","",IFERROR(INDEX(Items!$E$5:$E$2004,INDEX(Sales!$U$5:INDEX(Sales!$U$5:$U$20004,TxRows),(MATCH($C$7,Sales!$B$5:INDEX(Sales!$B$5:$B$20004,TxRows),0)+2)))&amp;"",""))</f>
        <v/>
      </c>
      <c r="D15" s="94">
        <f>IF($A15="","",INDEX(Sales!$E$5:INDEX(Sales!$E$5:$E$20004,TxRows),(MATCH($C$7,Sales!$B$5:INDEX(Sales!$B$5:$B$20004,TxRows),0)+2)))</f>
        <v/>
      </c>
      <c r="E15" s="93">
        <f>IF($A15="","",INDEX(Sales!$J$5:INDEX(Sales!$J$5:$J$20004,TxRows),(MATCH($C$7,Sales!$B$5:INDEX(Sales!$B$5:$B$20004,TxRows),0)+2)))</f>
        <v/>
      </c>
      <c r="F15" s="95">
        <f>IF($A15="","",INDEX(Sales!$K$5:INDEX(Sales!$K$5:$K$20004,TxRows),(MATCH($C$7,Sales!$B$5:INDEX(Sales!$B$5:$B$20004,TxRows),0)+2)))</f>
        <v/>
      </c>
      <c r="G15" s="96">
        <f>IF($A15="","",N(INDEX(Sales!$G$5:INDEX(Sales!$G$5:$G$20004,TxRows),(MATCH($C$7,Sales!$B$5:INDEX(Sales!$B$5:$B$20004,TxRows),0)+2))))</f>
        <v/>
      </c>
      <c r="H15" s="95">
        <f>IF($A15="","",INDEX(Sales!$L$5:INDEX(Sales!$L$5:$L$20004,TxRows),(MATCH($C$7,Sales!$B$5:INDEX(Sales!$B$5:$B$20004,TxRows),0)+2)))</f>
        <v/>
      </c>
      <c r="I15" s="97">
        <f>IF($A15="","",INDEX(Sales!$M$5:INDEX(Sales!$M$5:$M$20004,TxRows),(MATCH($C$7,Sales!$B$5:INDEX(Sales!$B$5:$B$20004,TxRows),0)+2)))</f>
        <v/>
      </c>
      <c r="J15" s="95">
        <f>IF($A15="","",INDEX(Sales!$N$5:INDEX(Sales!$N$5:$N$20004,TxRows),(MATCH($C$7,Sales!$B$5:INDEX(Sales!$B$5:$B$20004,TxRows),0)+2))+INDEX(Sales!$O$5:INDEX(Sales!$O$5:$O$20004,TxRows),(MATCH($C$7,Sales!$B$5:INDEX(Sales!$B$5:$B$20004,TxRows),0)+2))+INDEX(Sales!$P$5:INDEX(Sales!$P$5:$P$20004,TxRows),(MATCH($C$7,Sales!$B$5:INDEX(Sales!$B$5:$B$20004,TxRows),0)+2)))</f>
        <v/>
      </c>
      <c r="K15" s="95">
        <f>IF($A15="","",INDEX(Sales!$Q$5:INDEX(Sales!$Q$5:$Q$20004,TxRows),(MATCH($C$7,Sales!$B$5:INDEX(Sales!$B$5:$B$20004,TxRows),0)+2)))</f>
        <v/>
      </c>
    </row>
    <row r="16">
      <c r="A16" s="93">
        <f>IF(IFERROR(INDEX(Sales!$B$5:INDEX(Sales!$B$5:$B$20004,TxRows),(MATCH($C$7,Sales!$B$5:INDEX(Sales!$B$5:$B$20004,TxRows),0)+3))=$C$7,FALSE),4,"")</f>
        <v/>
      </c>
      <c r="B16" s="93">
        <f>IF($A16="","",INDEX(Sales!$D$5:INDEX(Sales!$D$5:$D$20004,TxRows),(MATCH($C$7,Sales!$B$5:INDEX(Sales!$B$5:$B$20004,TxRows),0)+3)))</f>
        <v/>
      </c>
      <c r="C16" s="93">
        <f>IF($A16="","",IFERROR(INDEX(Items!$E$5:$E$2004,INDEX(Sales!$U$5:INDEX(Sales!$U$5:$U$20004,TxRows),(MATCH($C$7,Sales!$B$5:INDEX(Sales!$B$5:$B$20004,TxRows),0)+3)))&amp;"",""))</f>
        <v/>
      </c>
      <c r="D16" s="94">
        <f>IF($A16="","",INDEX(Sales!$E$5:INDEX(Sales!$E$5:$E$20004,TxRows),(MATCH($C$7,Sales!$B$5:INDEX(Sales!$B$5:$B$20004,TxRows),0)+3)))</f>
        <v/>
      </c>
      <c r="E16" s="93">
        <f>IF($A16="","",INDEX(Sales!$J$5:INDEX(Sales!$J$5:$J$20004,TxRows),(MATCH($C$7,Sales!$B$5:INDEX(Sales!$B$5:$B$20004,TxRows),0)+3)))</f>
        <v/>
      </c>
      <c r="F16" s="95">
        <f>IF($A16="","",INDEX(Sales!$K$5:INDEX(Sales!$K$5:$K$20004,TxRows),(MATCH($C$7,Sales!$B$5:INDEX(Sales!$B$5:$B$20004,TxRows),0)+3)))</f>
        <v/>
      </c>
      <c r="G16" s="96">
        <f>IF($A16="","",N(INDEX(Sales!$G$5:INDEX(Sales!$G$5:$G$20004,TxRows),(MATCH($C$7,Sales!$B$5:INDEX(Sales!$B$5:$B$20004,TxRows),0)+3))))</f>
        <v/>
      </c>
      <c r="H16" s="95">
        <f>IF($A16="","",INDEX(Sales!$L$5:INDEX(Sales!$L$5:$L$20004,TxRows),(MATCH($C$7,Sales!$B$5:INDEX(Sales!$B$5:$B$20004,TxRows),0)+3)))</f>
        <v/>
      </c>
      <c r="I16" s="97">
        <f>IF($A16="","",INDEX(Sales!$M$5:INDEX(Sales!$M$5:$M$20004,TxRows),(MATCH($C$7,Sales!$B$5:INDEX(Sales!$B$5:$B$20004,TxRows),0)+3)))</f>
        <v/>
      </c>
      <c r="J16" s="95">
        <f>IF($A16="","",INDEX(Sales!$N$5:INDEX(Sales!$N$5:$N$20004,TxRows),(MATCH($C$7,Sales!$B$5:INDEX(Sales!$B$5:$B$20004,TxRows),0)+3))+INDEX(Sales!$O$5:INDEX(Sales!$O$5:$O$20004,TxRows),(MATCH($C$7,Sales!$B$5:INDEX(Sales!$B$5:$B$20004,TxRows),0)+3))+INDEX(Sales!$P$5:INDEX(Sales!$P$5:$P$20004,TxRows),(MATCH($C$7,Sales!$B$5:INDEX(Sales!$B$5:$B$20004,TxRows),0)+3)))</f>
        <v/>
      </c>
      <c r="K16" s="95">
        <f>IF($A16="","",INDEX(Sales!$Q$5:INDEX(Sales!$Q$5:$Q$20004,TxRows),(MATCH($C$7,Sales!$B$5:INDEX(Sales!$B$5:$B$20004,TxRows),0)+3)))</f>
        <v/>
      </c>
    </row>
    <row r="17">
      <c r="A17" s="93">
        <f>IF(IFERROR(INDEX(Sales!$B$5:INDEX(Sales!$B$5:$B$20004,TxRows),(MATCH($C$7,Sales!$B$5:INDEX(Sales!$B$5:$B$20004,TxRows),0)+4))=$C$7,FALSE),5,"")</f>
        <v/>
      </c>
      <c r="B17" s="93">
        <f>IF($A17="","",INDEX(Sales!$D$5:INDEX(Sales!$D$5:$D$20004,TxRows),(MATCH($C$7,Sales!$B$5:INDEX(Sales!$B$5:$B$20004,TxRows),0)+4)))</f>
        <v/>
      </c>
      <c r="C17" s="93">
        <f>IF($A17="","",IFERROR(INDEX(Items!$E$5:$E$2004,INDEX(Sales!$U$5:INDEX(Sales!$U$5:$U$20004,TxRows),(MATCH($C$7,Sales!$B$5:INDEX(Sales!$B$5:$B$20004,TxRows),0)+4)))&amp;"",""))</f>
        <v/>
      </c>
      <c r="D17" s="94">
        <f>IF($A17="","",INDEX(Sales!$E$5:INDEX(Sales!$E$5:$E$20004,TxRows),(MATCH($C$7,Sales!$B$5:INDEX(Sales!$B$5:$B$20004,TxRows),0)+4)))</f>
        <v/>
      </c>
      <c r="E17" s="93">
        <f>IF($A17="","",INDEX(Sales!$J$5:INDEX(Sales!$J$5:$J$20004,TxRows),(MATCH($C$7,Sales!$B$5:INDEX(Sales!$B$5:$B$20004,TxRows),0)+4)))</f>
        <v/>
      </c>
      <c r="F17" s="95">
        <f>IF($A17="","",INDEX(Sales!$K$5:INDEX(Sales!$K$5:$K$20004,TxRows),(MATCH($C$7,Sales!$B$5:INDEX(Sales!$B$5:$B$20004,TxRows),0)+4)))</f>
        <v/>
      </c>
      <c r="G17" s="96">
        <f>IF($A17="","",N(INDEX(Sales!$G$5:INDEX(Sales!$G$5:$G$20004,TxRows),(MATCH($C$7,Sales!$B$5:INDEX(Sales!$B$5:$B$20004,TxRows),0)+4))))</f>
        <v/>
      </c>
      <c r="H17" s="95">
        <f>IF($A17="","",INDEX(Sales!$L$5:INDEX(Sales!$L$5:$L$20004,TxRows),(MATCH($C$7,Sales!$B$5:INDEX(Sales!$B$5:$B$20004,TxRows),0)+4)))</f>
        <v/>
      </c>
      <c r="I17" s="97">
        <f>IF($A17="","",INDEX(Sales!$M$5:INDEX(Sales!$M$5:$M$20004,TxRows),(MATCH($C$7,Sales!$B$5:INDEX(Sales!$B$5:$B$20004,TxRows),0)+4)))</f>
        <v/>
      </c>
      <c r="J17" s="95">
        <f>IF($A17="","",INDEX(Sales!$N$5:INDEX(Sales!$N$5:$N$20004,TxRows),(MATCH($C$7,Sales!$B$5:INDEX(Sales!$B$5:$B$20004,TxRows),0)+4))+INDEX(Sales!$O$5:INDEX(Sales!$O$5:$O$20004,TxRows),(MATCH($C$7,Sales!$B$5:INDEX(Sales!$B$5:$B$20004,TxRows),0)+4))+INDEX(Sales!$P$5:INDEX(Sales!$P$5:$P$20004,TxRows),(MATCH($C$7,Sales!$B$5:INDEX(Sales!$B$5:$B$20004,TxRows),0)+4)))</f>
        <v/>
      </c>
      <c r="K17" s="95">
        <f>IF($A17="","",INDEX(Sales!$Q$5:INDEX(Sales!$Q$5:$Q$20004,TxRows),(MATCH($C$7,Sales!$B$5:INDEX(Sales!$B$5:$B$20004,TxRows),0)+4)))</f>
        <v/>
      </c>
    </row>
    <row r="18">
      <c r="A18" s="93">
        <f>IF(IFERROR(INDEX(Sales!$B$5:INDEX(Sales!$B$5:$B$20004,TxRows),(MATCH($C$7,Sales!$B$5:INDEX(Sales!$B$5:$B$20004,TxRows),0)+5))=$C$7,FALSE),6,"")</f>
        <v/>
      </c>
      <c r="B18" s="93">
        <f>IF($A18="","",INDEX(Sales!$D$5:INDEX(Sales!$D$5:$D$20004,TxRows),(MATCH($C$7,Sales!$B$5:INDEX(Sales!$B$5:$B$20004,TxRows),0)+5)))</f>
        <v/>
      </c>
      <c r="C18" s="93">
        <f>IF($A18="","",IFERROR(INDEX(Items!$E$5:$E$2004,INDEX(Sales!$U$5:INDEX(Sales!$U$5:$U$20004,TxRows),(MATCH($C$7,Sales!$B$5:INDEX(Sales!$B$5:$B$20004,TxRows),0)+5)))&amp;"",""))</f>
        <v/>
      </c>
      <c r="D18" s="94">
        <f>IF($A18="","",INDEX(Sales!$E$5:INDEX(Sales!$E$5:$E$20004,TxRows),(MATCH($C$7,Sales!$B$5:INDEX(Sales!$B$5:$B$20004,TxRows),0)+5)))</f>
        <v/>
      </c>
      <c r="E18" s="93">
        <f>IF($A18="","",INDEX(Sales!$J$5:INDEX(Sales!$J$5:$J$20004,TxRows),(MATCH($C$7,Sales!$B$5:INDEX(Sales!$B$5:$B$20004,TxRows),0)+5)))</f>
        <v/>
      </c>
      <c r="F18" s="95">
        <f>IF($A18="","",INDEX(Sales!$K$5:INDEX(Sales!$K$5:$K$20004,TxRows),(MATCH($C$7,Sales!$B$5:INDEX(Sales!$B$5:$B$20004,TxRows),0)+5)))</f>
        <v/>
      </c>
      <c r="G18" s="96">
        <f>IF($A18="","",N(INDEX(Sales!$G$5:INDEX(Sales!$G$5:$G$20004,TxRows),(MATCH($C$7,Sales!$B$5:INDEX(Sales!$B$5:$B$20004,TxRows),0)+5))))</f>
        <v/>
      </c>
      <c r="H18" s="95">
        <f>IF($A18="","",INDEX(Sales!$L$5:INDEX(Sales!$L$5:$L$20004,TxRows),(MATCH($C$7,Sales!$B$5:INDEX(Sales!$B$5:$B$20004,TxRows),0)+5)))</f>
        <v/>
      </c>
      <c r="I18" s="97">
        <f>IF($A18="","",INDEX(Sales!$M$5:INDEX(Sales!$M$5:$M$20004,TxRows),(MATCH($C$7,Sales!$B$5:INDEX(Sales!$B$5:$B$20004,TxRows),0)+5)))</f>
        <v/>
      </c>
      <c r="J18" s="95">
        <f>IF($A18="","",INDEX(Sales!$N$5:INDEX(Sales!$N$5:$N$20004,TxRows),(MATCH($C$7,Sales!$B$5:INDEX(Sales!$B$5:$B$20004,TxRows),0)+5))+INDEX(Sales!$O$5:INDEX(Sales!$O$5:$O$20004,TxRows),(MATCH($C$7,Sales!$B$5:INDEX(Sales!$B$5:$B$20004,TxRows),0)+5))+INDEX(Sales!$P$5:INDEX(Sales!$P$5:$P$20004,TxRows),(MATCH($C$7,Sales!$B$5:INDEX(Sales!$B$5:$B$20004,TxRows),0)+5)))</f>
        <v/>
      </c>
      <c r="K18" s="95">
        <f>IF($A18="","",INDEX(Sales!$Q$5:INDEX(Sales!$Q$5:$Q$20004,TxRows),(MATCH($C$7,Sales!$B$5:INDEX(Sales!$B$5:$B$20004,TxRows),0)+5)))</f>
        <v/>
      </c>
    </row>
    <row r="19">
      <c r="A19" s="93">
        <f>IF(IFERROR(INDEX(Sales!$B$5:INDEX(Sales!$B$5:$B$20004,TxRows),(MATCH($C$7,Sales!$B$5:INDEX(Sales!$B$5:$B$20004,TxRows),0)+6))=$C$7,FALSE),7,"")</f>
        <v/>
      </c>
      <c r="B19" s="93">
        <f>IF($A19="","",INDEX(Sales!$D$5:INDEX(Sales!$D$5:$D$20004,TxRows),(MATCH($C$7,Sales!$B$5:INDEX(Sales!$B$5:$B$20004,TxRows),0)+6)))</f>
        <v/>
      </c>
      <c r="C19" s="93">
        <f>IF($A19="","",IFERROR(INDEX(Items!$E$5:$E$2004,INDEX(Sales!$U$5:INDEX(Sales!$U$5:$U$20004,TxRows),(MATCH($C$7,Sales!$B$5:INDEX(Sales!$B$5:$B$20004,TxRows),0)+6)))&amp;"",""))</f>
        <v/>
      </c>
      <c r="D19" s="94">
        <f>IF($A19="","",INDEX(Sales!$E$5:INDEX(Sales!$E$5:$E$20004,TxRows),(MATCH($C$7,Sales!$B$5:INDEX(Sales!$B$5:$B$20004,TxRows),0)+6)))</f>
        <v/>
      </c>
      <c r="E19" s="93">
        <f>IF($A19="","",INDEX(Sales!$J$5:INDEX(Sales!$J$5:$J$20004,TxRows),(MATCH($C$7,Sales!$B$5:INDEX(Sales!$B$5:$B$20004,TxRows),0)+6)))</f>
        <v/>
      </c>
      <c r="F19" s="95">
        <f>IF($A19="","",INDEX(Sales!$K$5:INDEX(Sales!$K$5:$K$20004,TxRows),(MATCH($C$7,Sales!$B$5:INDEX(Sales!$B$5:$B$20004,TxRows),0)+6)))</f>
        <v/>
      </c>
      <c r="G19" s="96">
        <f>IF($A19="","",N(INDEX(Sales!$G$5:INDEX(Sales!$G$5:$G$20004,TxRows),(MATCH($C$7,Sales!$B$5:INDEX(Sales!$B$5:$B$20004,TxRows),0)+6))))</f>
        <v/>
      </c>
      <c r="H19" s="95">
        <f>IF($A19="","",INDEX(Sales!$L$5:INDEX(Sales!$L$5:$L$20004,TxRows),(MATCH($C$7,Sales!$B$5:INDEX(Sales!$B$5:$B$20004,TxRows),0)+6)))</f>
        <v/>
      </c>
      <c r="I19" s="97">
        <f>IF($A19="","",INDEX(Sales!$M$5:INDEX(Sales!$M$5:$M$20004,TxRows),(MATCH($C$7,Sales!$B$5:INDEX(Sales!$B$5:$B$20004,TxRows),0)+6)))</f>
        <v/>
      </c>
      <c r="J19" s="95">
        <f>IF($A19="","",INDEX(Sales!$N$5:INDEX(Sales!$N$5:$N$20004,TxRows),(MATCH($C$7,Sales!$B$5:INDEX(Sales!$B$5:$B$20004,TxRows),0)+6))+INDEX(Sales!$O$5:INDEX(Sales!$O$5:$O$20004,TxRows),(MATCH($C$7,Sales!$B$5:INDEX(Sales!$B$5:$B$20004,TxRows),0)+6))+INDEX(Sales!$P$5:INDEX(Sales!$P$5:$P$20004,TxRows),(MATCH($C$7,Sales!$B$5:INDEX(Sales!$B$5:$B$20004,TxRows),0)+6)))</f>
        <v/>
      </c>
      <c r="K19" s="95">
        <f>IF($A19="","",INDEX(Sales!$Q$5:INDEX(Sales!$Q$5:$Q$20004,TxRows),(MATCH($C$7,Sales!$B$5:INDEX(Sales!$B$5:$B$20004,TxRows),0)+6)))</f>
        <v/>
      </c>
    </row>
    <row r="20">
      <c r="A20" s="93">
        <f>IF(IFERROR(INDEX(Sales!$B$5:INDEX(Sales!$B$5:$B$20004,TxRows),(MATCH($C$7,Sales!$B$5:INDEX(Sales!$B$5:$B$20004,TxRows),0)+7))=$C$7,FALSE),8,"")</f>
        <v/>
      </c>
      <c r="B20" s="93">
        <f>IF($A20="","",INDEX(Sales!$D$5:INDEX(Sales!$D$5:$D$20004,TxRows),(MATCH($C$7,Sales!$B$5:INDEX(Sales!$B$5:$B$20004,TxRows),0)+7)))</f>
        <v/>
      </c>
      <c r="C20" s="93">
        <f>IF($A20="","",IFERROR(INDEX(Items!$E$5:$E$2004,INDEX(Sales!$U$5:INDEX(Sales!$U$5:$U$20004,TxRows),(MATCH($C$7,Sales!$B$5:INDEX(Sales!$B$5:$B$20004,TxRows),0)+7)))&amp;"",""))</f>
        <v/>
      </c>
      <c r="D20" s="94">
        <f>IF($A20="","",INDEX(Sales!$E$5:INDEX(Sales!$E$5:$E$20004,TxRows),(MATCH($C$7,Sales!$B$5:INDEX(Sales!$B$5:$B$20004,TxRows),0)+7)))</f>
        <v/>
      </c>
      <c r="E20" s="93">
        <f>IF($A20="","",INDEX(Sales!$J$5:INDEX(Sales!$J$5:$J$20004,TxRows),(MATCH($C$7,Sales!$B$5:INDEX(Sales!$B$5:$B$20004,TxRows),0)+7)))</f>
        <v/>
      </c>
      <c r="F20" s="95">
        <f>IF($A20="","",INDEX(Sales!$K$5:INDEX(Sales!$K$5:$K$20004,TxRows),(MATCH($C$7,Sales!$B$5:INDEX(Sales!$B$5:$B$20004,TxRows),0)+7)))</f>
        <v/>
      </c>
      <c r="G20" s="96">
        <f>IF($A20="","",N(INDEX(Sales!$G$5:INDEX(Sales!$G$5:$G$20004,TxRows),(MATCH($C$7,Sales!$B$5:INDEX(Sales!$B$5:$B$20004,TxRows),0)+7))))</f>
        <v/>
      </c>
      <c r="H20" s="95">
        <f>IF($A20="","",INDEX(Sales!$L$5:INDEX(Sales!$L$5:$L$20004,TxRows),(MATCH($C$7,Sales!$B$5:INDEX(Sales!$B$5:$B$20004,TxRows),0)+7)))</f>
        <v/>
      </c>
      <c r="I20" s="97">
        <f>IF($A20="","",INDEX(Sales!$M$5:INDEX(Sales!$M$5:$M$20004,TxRows),(MATCH($C$7,Sales!$B$5:INDEX(Sales!$B$5:$B$20004,TxRows),0)+7)))</f>
        <v/>
      </c>
      <c r="J20" s="95">
        <f>IF($A20="","",INDEX(Sales!$N$5:INDEX(Sales!$N$5:$N$20004,TxRows),(MATCH($C$7,Sales!$B$5:INDEX(Sales!$B$5:$B$20004,TxRows),0)+7))+INDEX(Sales!$O$5:INDEX(Sales!$O$5:$O$20004,TxRows),(MATCH($C$7,Sales!$B$5:INDEX(Sales!$B$5:$B$20004,TxRows),0)+7))+INDEX(Sales!$P$5:INDEX(Sales!$P$5:$P$20004,TxRows),(MATCH($C$7,Sales!$B$5:INDEX(Sales!$B$5:$B$20004,TxRows),0)+7)))</f>
        <v/>
      </c>
      <c r="K20" s="95">
        <f>IF($A20="","",INDEX(Sales!$Q$5:INDEX(Sales!$Q$5:$Q$20004,TxRows),(MATCH($C$7,Sales!$B$5:INDEX(Sales!$B$5:$B$20004,TxRows),0)+7)))</f>
        <v/>
      </c>
    </row>
    <row r="21">
      <c r="A21" s="93">
        <f>IF(IFERROR(INDEX(Sales!$B$5:INDEX(Sales!$B$5:$B$20004,TxRows),(MATCH($C$7,Sales!$B$5:INDEX(Sales!$B$5:$B$20004,TxRows),0)+8))=$C$7,FALSE),9,"")</f>
        <v/>
      </c>
      <c r="B21" s="93">
        <f>IF($A21="","",INDEX(Sales!$D$5:INDEX(Sales!$D$5:$D$20004,TxRows),(MATCH($C$7,Sales!$B$5:INDEX(Sales!$B$5:$B$20004,TxRows),0)+8)))</f>
        <v/>
      </c>
      <c r="C21" s="93">
        <f>IF($A21="","",IFERROR(INDEX(Items!$E$5:$E$2004,INDEX(Sales!$U$5:INDEX(Sales!$U$5:$U$20004,TxRows),(MATCH($C$7,Sales!$B$5:INDEX(Sales!$B$5:$B$20004,TxRows),0)+8)))&amp;"",""))</f>
        <v/>
      </c>
      <c r="D21" s="94">
        <f>IF($A21="","",INDEX(Sales!$E$5:INDEX(Sales!$E$5:$E$20004,TxRows),(MATCH($C$7,Sales!$B$5:INDEX(Sales!$B$5:$B$20004,TxRows),0)+8)))</f>
        <v/>
      </c>
      <c r="E21" s="93">
        <f>IF($A21="","",INDEX(Sales!$J$5:INDEX(Sales!$J$5:$J$20004,TxRows),(MATCH($C$7,Sales!$B$5:INDEX(Sales!$B$5:$B$20004,TxRows),0)+8)))</f>
        <v/>
      </c>
      <c r="F21" s="95">
        <f>IF($A21="","",INDEX(Sales!$K$5:INDEX(Sales!$K$5:$K$20004,TxRows),(MATCH($C$7,Sales!$B$5:INDEX(Sales!$B$5:$B$20004,TxRows),0)+8)))</f>
        <v/>
      </c>
      <c r="G21" s="96">
        <f>IF($A21="","",N(INDEX(Sales!$G$5:INDEX(Sales!$G$5:$G$20004,TxRows),(MATCH($C$7,Sales!$B$5:INDEX(Sales!$B$5:$B$20004,TxRows),0)+8))))</f>
        <v/>
      </c>
      <c r="H21" s="95">
        <f>IF($A21="","",INDEX(Sales!$L$5:INDEX(Sales!$L$5:$L$20004,TxRows),(MATCH($C$7,Sales!$B$5:INDEX(Sales!$B$5:$B$20004,TxRows),0)+8)))</f>
        <v/>
      </c>
      <c r="I21" s="97">
        <f>IF($A21="","",INDEX(Sales!$M$5:INDEX(Sales!$M$5:$M$20004,TxRows),(MATCH($C$7,Sales!$B$5:INDEX(Sales!$B$5:$B$20004,TxRows),0)+8)))</f>
        <v/>
      </c>
      <c r="J21" s="95">
        <f>IF($A21="","",INDEX(Sales!$N$5:INDEX(Sales!$N$5:$N$20004,TxRows),(MATCH($C$7,Sales!$B$5:INDEX(Sales!$B$5:$B$20004,TxRows),0)+8))+INDEX(Sales!$O$5:INDEX(Sales!$O$5:$O$20004,TxRows),(MATCH($C$7,Sales!$B$5:INDEX(Sales!$B$5:$B$20004,TxRows),0)+8))+INDEX(Sales!$P$5:INDEX(Sales!$P$5:$P$20004,TxRows),(MATCH($C$7,Sales!$B$5:INDEX(Sales!$B$5:$B$20004,TxRows),0)+8)))</f>
        <v/>
      </c>
      <c r="K21" s="95">
        <f>IF($A21="","",INDEX(Sales!$Q$5:INDEX(Sales!$Q$5:$Q$20004,TxRows),(MATCH($C$7,Sales!$B$5:INDEX(Sales!$B$5:$B$20004,TxRows),0)+8)))</f>
        <v/>
      </c>
    </row>
    <row r="22">
      <c r="A22" s="93">
        <f>IF(IFERROR(INDEX(Sales!$B$5:INDEX(Sales!$B$5:$B$20004,TxRows),(MATCH($C$7,Sales!$B$5:INDEX(Sales!$B$5:$B$20004,TxRows),0)+9))=$C$7,FALSE),10,"")</f>
        <v/>
      </c>
      <c r="B22" s="93">
        <f>IF($A22="","",INDEX(Sales!$D$5:INDEX(Sales!$D$5:$D$20004,TxRows),(MATCH($C$7,Sales!$B$5:INDEX(Sales!$B$5:$B$20004,TxRows),0)+9)))</f>
        <v/>
      </c>
      <c r="C22" s="93">
        <f>IF($A22="","",IFERROR(INDEX(Items!$E$5:$E$2004,INDEX(Sales!$U$5:INDEX(Sales!$U$5:$U$20004,TxRows),(MATCH($C$7,Sales!$B$5:INDEX(Sales!$B$5:$B$20004,TxRows),0)+9)))&amp;"",""))</f>
        <v/>
      </c>
      <c r="D22" s="94">
        <f>IF($A22="","",INDEX(Sales!$E$5:INDEX(Sales!$E$5:$E$20004,TxRows),(MATCH($C$7,Sales!$B$5:INDEX(Sales!$B$5:$B$20004,TxRows),0)+9)))</f>
        <v/>
      </c>
      <c r="E22" s="93">
        <f>IF($A22="","",INDEX(Sales!$J$5:INDEX(Sales!$J$5:$J$20004,TxRows),(MATCH($C$7,Sales!$B$5:INDEX(Sales!$B$5:$B$20004,TxRows),0)+9)))</f>
        <v/>
      </c>
      <c r="F22" s="95">
        <f>IF($A22="","",INDEX(Sales!$K$5:INDEX(Sales!$K$5:$K$20004,TxRows),(MATCH($C$7,Sales!$B$5:INDEX(Sales!$B$5:$B$20004,TxRows),0)+9)))</f>
        <v/>
      </c>
      <c r="G22" s="96">
        <f>IF($A22="","",N(INDEX(Sales!$G$5:INDEX(Sales!$G$5:$G$20004,TxRows),(MATCH($C$7,Sales!$B$5:INDEX(Sales!$B$5:$B$20004,TxRows),0)+9))))</f>
        <v/>
      </c>
      <c r="H22" s="95">
        <f>IF($A22="","",INDEX(Sales!$L$5:INDEX(Sales!$L$5:$L$20004,TxRows),(MATCH($C$7,Sales!$B$5:INDEX(Sales!$B$5:$B$20004,TxRows),0)+9)))</f>
        <v/>
      </c>
      <c r="I22" s="97">
        <f>IF($A22="","",INDEX(Sales!$M$5:INDEX(Sales!$M$5:$M$20004,TxRows),(MATCH($C$7,Sales!$B$5:INDEX(Sales!$B$5:$B$20004,TxRows),0)+9)))</f>
        <v/>
      </c>
      <c r="J22" s="95">
        <f>IF($A22="","",INDEX(Sales!$N$5:INDEX(Sales!$N$5:$N$20004,TxRows),(MATCH($C$7,Sales!$B$5:INDEX(Sales!$B$5:$B$20004,TxRows),0)+9))+INDEX(Sales!$O$5:INDEX(Sales!$O$5:$O$20004,TxRows),(MATCH($C$7,Sales!$B$5:INDEX(Sales!$B$5:$B$20004,TxRows),0)+9))+INDEX(Sales!$P$5:INDEX(Sales!$P$5:$P$20004,TxRows),(MATCH($C$7,Sales!$B$5:INDEX(Sales!$B$5:$B$20004,TxRows),0)+9)))</f>
        <v/>
      </c>
      <c r="K22" s="95">
        <f>IF($A22="","",INDEX(Sales!$Q$5:INDEX(Sales!$Q$5:$Q$20004,TxRows),(MATCH($C$7,Sales!$B$5:INDEX(Sales!$B$5:$B$20004,TxRows),0)+9)))</f>
        <v/>
      </c>
    </row>
    <row r="23">
      <c r="A23" s="93">
        <f>IF(IFERROR(INDEX(Sales!$B$5:INDEX(Sales!$B$5:$B$20004,TxRows),(MATCH($C$7,Sales!$B$5:INDEX(Sales!$B$5:$B$20004,TxRows),0)+10))=$C$7,FALSE),11,"")</f>
        <v/>
      </c>
      <c r="B23" s="93">
        <f>IF($A23="","",INDEX(Sales!$D$5:INDEX(Sales!$D$5:$D$20004,TxRows),(MATCH($C$7,Sales!$B$5:INDEX(Sales!$B$5:$B$20004,TxRows),0)+10)))</f>
        <v/>
      </c>
      <c r="C23" s="93">
        <f>IF($A23="","",IFERROR(INDEX(Items!$E$5:$E$2004,INDEX(Sales!$U$5:INDEX(Sales!$U$5:$U$20004,TxRows),(MATCH($C$7,Sales!$B$5:INDEX(Sales!$B$5:$B$20004,TxRows),0)+10)))&amp;"",""))</f>
        <v/>
      </c>
      <c r="D23" s="94">
        <f>IF($A23="","",INDEX(Sales!$E$5:INDEX(Sales!$E$5:$E$20004,TxRows),(MATCH($C$7,Sales!$B$5:INDEX(Sales!$B$5:$B$20004,TxRows),0)+10)))</f>
        <v/>
      </c>
      <c r="E23" s="93">
        <f>IF($A23="","",INDEX(Sales!$J$5:INDEX(Sales!$J$5:$J$20004,TxRows),(MATCH($C$7,Sales!$B$5:INDEX(Sales!$B$5:$B$20004,TxRows),0)+10)))</f>
        <v/>
      </c>
      <c r="F23" s="95">
        <f>IF($A23="","",INDEX(Sales!$K$5:INDEX(Sales!$K$5:$K$20004,TxRows),(MATCH($C$7,Sales!$B$5:INDEX(Sales!$B$5:$B$20004,TxRows),0)+10)))</f>
        <v/>
      </c>
      <c r="G23" s="96">
        <f>IF($A23="","",N(INDEX(Sales!$G$5:INDEX(Sales!$G$5:$G$20004,TxRows),(MATCH($C$7,Sales!$B$5:INDEX(Sales!$B$5:$B$20004,TxRows),0)+10))))</f>
        <v/>
      </c>
      <c r="H23" s="95">
        <f>IF($A23="","",INDEX(Sales!$L$5:INDEX(Sales!$L$5:$L$20004,TxRows),(MATCH($C$7,Sales!$B$5:INDEX(Sales!$B$5:$B$20004,TxRows),0)+10)))</f>
        <v/>
      </c>
      <c r="I23" s="97">
        <f>IF($A23="","",INDEX(Sales!$M$5:INDEX(Sales!$M$5:$M$20004,TxRows),(MATCH($C$7,Sales!$B$5:INDEX(Sales!$B$5:$B$20004,TxRows),0)+10)))</f>
        <v/>
      </c>
      <c r="J23" s="95">
        <f>IF($A23="","",INDEX(Sales!$N$5:INDEX(Sales!$N$5:$N$20004,TxRows),(MATCH($C$7,Sales!$B$5:INDEX(Sales!$B$5:$B$20004,TxRows),0)+10))+INDEX(Sales!$O$5:INDEX(Sales!$O$5:$O$20004,TxRows),(MATCH($C$7,Sales!$B$5:INDEX(Sales!$B$5:$B$20004,TxRows),0)+10))+INDEX(Sales!$P$5:INDEX(Sales!$P$5:$P$20004,TxRows),(MATCH($C$7,Sales!$B$5:INDEX(Sales!$B$5:$B$20004,TxRows),0)+10)))</f>
        <v/>
      </c>
      <c r="K23" s="95">
        <f>IF($A23="","",INDEX(Sales!$Q$5:INDEX(Sales!$Q$5:$Q$20004,TxRows),(MATCH($C$7,Sales!$B$5:INDEX(Sales!$B$5:$B$20004,TxRows),0)+10)))</f>
        <v/>
      </c>
    </row>
    <row r="24">
      <c r="A24" s="93">
        <f>IF(IFERROR(INDEX(Sales!$B$5:INDEX(Sales!$B$5:$B$20004,TxRows),(MATCH($C$7,Sales!$B$5:INDEX(Sales!$B$5:$B$20004,TxRows),0)+11))=$C$7,FALSE),12,"")</f>
        <v/>
      </c>
      <c r="B24" s="93">
        <f>IF($A24="","",INDEX(Sales!$D$5:INDEX(Sales!$D$5:$D$20004,TxRows),(MATCH($C$7,Sales!$B$5:INDEX(Sales!$B$5:$B$20004,TxRows),0)+11)))</f>
        <v/>
      </c>
      <c r="C24" s="93">
        <f>IF($A24="","",IFERROR(INDEX(Items!$E$5:$E$2004,INDEX(Sales!$U$5:INDEX(Sales!$U$5:$U$20004,TxRows),(MATCH($C$7,Sales!$B$5:INDEX(Sales!$B$5:$B$20004,TxRows),0)+11)))&amp;"",""))</f>
        <v/>
      </c>
      <c r="D24" s="94">
        <f>IF($A24="","",INDEX(Sales!$E$5:INDEX(Sales!$E$5:$E$20004,TxRows),(MATCH($C$7,Sales!$B$5:INDEX(Sales!$B$5:$B$20004,TxRows),0)+11)))</f>
        <v/>
      </c>
      <c r="E24" s="93">
        <f>IF($A24="","",INDEX(Sales!$J$5:INDEX(Sales!$J$5:$J$20004,TxRows),(MATCH($C$7,Sales!$B$5:INDEX(Sales!$B$5:$B$20004,TxRows),0)+11)))</f>
        <v/>
      </c>
      <c r="F24" s="95">
        <f>IF($A24="","",INDEX(Sales!$K$5:INDEX(Sales!$K$5:$K$20004,TxRows),(MATCH($C$7,Sales!$B$5:INDEX(Sales!$B$5:$B$20004,TxRows),0)+11)))</f>
        <v/>
      </c>
      <c r="G24" s="96">
        <f>IF($A24="","",N(INDEX(Sales!$G$5:INDEX(Sales!$G$5:$G$20004,TxRows),(MATCH($C$7,Sales!$B$5:INDEX(Sales!$B$5:$B$20004,TxRows),0)+11))))</f>
        <v/>
      </c>
      <c r="H24" s="95">
        <f>IF($A24="","",INDEX(Sales!$L$5:INDEX(Sales!$L$5:$L$20004,TxRows),(MATCH($C$7,Sales!$B$5:INDEX(Sales!$B$5:$B$20004,TxRows),0)+11)))</f>
        <v/>
      </c>
      <c r="I24" s="97">
        <f>IF($A24="","",INDEX(Sales!$M$5:INDEX(Sales!$M$5:$M$20004,TxRows),(MATCH($C$7,Sales!$B$5:INDEX(Sales!$B$5:$B$20004,TxRows),0)+11)))</f>
        <v/>
      </c>
      <c r="J24" s="95">
        <f>IF($A24="","",INDEX(Sales!$N$5:INDEX(Sales!$N$5:$N$20004,TxRows),(MATCH($C$7,Sales!$B$5:INDEX(Sales!$B$5:$B$20004,TxRows),0)+11))+INDEX(Sales!$O$5:INDEX(Sales!$O$5:$O$20004,TxRows),(MATCH($C$7,Sales!$B$5:INDEX(Sales!$B$5:$B$20004,TxRows),0)+11))+INDEX(Sales!$P$5:INDEX(Sales!$P$5:$P$20004,TxRows),(MATCH($C$7,Sales!$B$5:INDEX(Sales!$B$5:$B$20004,TxRows),0)+11)))</f>
        <v/>
      </c>
      <c r="K24" s="95">
        <f>IF($A24="","",INDEX(Sales!$Q$5:INDEX(Sales!$Q$5:$Q$20004,TxRows),(MATCH($C$7,Sales!$B$5:INDEX(Sales!$B$5:$B$20004,TxRows),0)+11)))</f>
        <v/>
      </c>
    </row>
    <row r="25">
      <c r="A25" s="93">
        <f>IF(IFERROR(INDEX(Sales!$B$5:INDEX(Sales!$B$5:$B$20004,TxRows),(MATCH($C$7,Sales!$B$5:INDEX(Sales!$B$5:$B$20004,TxRows),0)+12))=$C$7,FALSE),13,"")</f>
        <v/>
      </c>
      <c r="B25" s="93">
        <f>IF($A25="","",INDEX(Sales!$D$5:INDEX(Sales!$D$5:$D$20004,TxRows),(MATCH($C$7,Sales!$B$5:INDEX(Sales!$B$5:$B$20004,TxRows),0)+12)))</f>
        <v/>
      </c>
      <c r="C25" s="93">
        <f>IF($A25="","",IFERROR(INDEX(Items!$E$5:$E$2004,INDEX(Sales!$U$5:INDEX(Sales!$U$5:$U$20004,TxRows),(MATCH($C$7,Sales!$B$5:INDEX(Sales!$B$5:$B$20004,TxRows),0)+12)))&amp;"",""))</f>
        <v/>
      </c>
      <c r="D25" s="94">
        <f>IF($A25="","",INDEX(Sales!$E$5:INDEX(Sales!$E$5:$E$20004,TxRows),(MATCH($C$7,Sales!$B$5:INDEX(Sales!$B$5:$B$20004,TxRows),0)+12)))</f>
        <v/>
      </c>
      <c r="E25" s="93">
        <f>IF($A25="","",INDEX(Sales!$J$5:INDEX(Sales!$J$5:$J$20004,TxRows),(MATCH($C$7,Sales!$B$5:INDEX(Sales!$B$5:$B$20004,TxRows),0)+12)))</f>
        <v/>
      </c>
      <c r="F25" s="95">
        <f>IF($A25="","",INDEX(Sales!$K$5:INDEX(Sales!$K$5:$K$20004,TxRows),(MATCH($C$7,Sales!$B$5:INDEX(Sales!$B$5:$B$20004,TxRows),0)+12)))</f>
        <v/>
      </c>
      <c r="G25" s="96">
        <f>IF($A25="","",N(INDEX(Sales!$G$5:INDEX(Sales!$G$5:$G$20004,TxRows),(MATCH($C$7,Sales!$B$5:INDEX(Sales!$B$5:$B$20004,TxRows),0)+12))))</f>
        <v/>
      </c>
      <c r="H25" s="95">
        <f>IF($A25="","",INDEX(Sales!$L$5:INDEX(Sales!$L$5:$L$20004,TxRows),(MATCH($C$7,Sales!$B$5:INDEX(Sales!$B$5:$B$20004,TxRows),0)+12)))</f>
        <v/>
      </c>
      <c r="I25" s="97">
        <f>IF($A25="","",INDEX(Sales!$M$5:INDEX(Sales!$M$5:$M$20004,TxRows),(MATCH($C$7,Sales!$B$5:INDEX(Sales!$B$5:$B$20004,TxRows),0)+12)))</f>
        <v/>
      </c>
      <c r="J25" s="95">
        <f>IF($A25="","",INDEX(Sales!$N$5:INDEX(Sales!$N$5:$N$20004,TxRows),(MATCH($C$7,Sales!$B$5:INDEX(Sales!$B$5:$B$20004,TxRows),0)+12))+INDEX(Sales!$O$5:INDEX(Sales!$O$5:$O$20004,TxRows),(MATCH($C$7,Sales!$B$5:INDEX(Sales!$B$5:$B$20004,TxRows),0)+12))+INDEX(Sales!$P$5:INDEX(Sales!$P$5:$P$20004,TxRows),(MATCH($C$7,Sales!$B$5:INDEX(Sales!$B$5:$B$20004,TxRows),0)+12)))</f>
        <v/>
      </c>
      <c r="K25" s="95">
        <f>IF($A25="","",INDEX(Sales!$Q$5:INDEX(Sales!$Q$5:$Q$20004,TxRows),(MATCH($C$7,Sales!$B$5:INDEX(Sales!$B$5:$B$20004,TxRows),0)+12)))</f>
        <v/>
      </c>
    </row>
    <row r="26">
      <c r="A26" s="93">
        <f>IF(IFERROR(INDEX(Sales!$B$5:INDEX(Sales!$B$5:$B$20004,TxRows),(MATCH($C$7,Sales!$B$5:INDEX(Sales!$B$5:$B$20004,TxRows),0)+13))=$C$7,FALSE),14,"")</f>
        <v/>
      </c>
      <c r="B26" s="93">
        <f>IF($A26="","",INDEX(Sales!$D$5:INDEX(Sales!$D$5:$D$20004,TxRows),(MATCH($C$7,Sales!$B$5:INDEX(Sales!$B$5:$B$20004,TxRows),0)+13)))</f>
        <v/>
      </c>
      <c r="C26" s="93">
        <f>IF($A26="","",IFERROR(INDEX(Items!$E$5:$E$2004,INDEX(Sales!$U$5:INDEX(Sales!$U$5:$U$20004,TxRows),(MATCH($C$7,Sales!$B$5:INDEX(Sales!$B$5:$B$20004,TxRows),0)+13)))&amp;"",""))</f>
        <v/>
      </c>
      <c r="D26" s="94">
        <f>IF($A26="","",INDEX(Sales!$E$5:INDEX(Sales!$E$5:$E$20004,TxRows),(MATCH($C$7,Sales!$B$5:INDEX(Sales!$B$5:$B$20004,TxRows),0)+13)))</f>
        <v/>
      </c>
      <c r="E26" s="93">
        <f>IF($A26="","",INDEX(Sales!$J$5:INDEX(Sales!$J$5:$J$20004,TxRows),(MATCH($C$7,Sales!$B$5:INDEX(Sales!$B$5:$B$20004,TxRows),0)+13)))</f>
        <v/>
      </c>
      <c r="F26" s="95">
        <f>IF($A26="","",INDEX(Sales!$K$5:INDEX(Sales!$K$5:$K$20004,TxRows),(MATCH($C$7,Sales!$B$5:INDEX(Sales!$B$5:$B$20004,TxRows),0)+13)))</f>
        <v/>
      </c>
      <c r="G26" s="96">
        <f>IF($A26="","",N(INDEX(Sales!$G$5:INDEX(Sales!$G$5:$G$20004,TxRows),(MATCH($C$7,Sales!$B$5:INDEX(Sales!$B$5:$B$20004,TxRows),0)+13))))</f>
        <v/>
      </c>
      <c r="H26" s="95">
        <f>IF($A26="","",INDEX(Sales!$L$5:INDEX(Sales!$L$5:$L$20004,TxRows),(MATCH($C$7,Sales!$B$5:INDEX(Sales!$B$5:$B$20004,TxRows),0)+13)))</f>
        <v/>
      </c>
      <c r="I26" s="97">
        <f>IF($A26="","",INDEX(Sales!$M$5:INDEX(Sales!$M$5:$M$20004,TxRows),(MATCH($C$7,Sales!$B$5:INDEX(Sales!$B$5:$B$20004,TxRows),0)+13)))</f>
        <v/>
      </c>
      <c r="J26" s="95">
        <f>IF($A26="","",INDEX(Sales!$N$5:INDEX(Sales!$N$5:$N$20004,TxRows),(MATCH($C$7,Sales!$B$5:INDEX(Sales!$B$5:$B$20004,TxRows),0)+13))+INDEX(Sales!$O$5:INDEX(Sales!$O$5:$O$20004,TxRows),(MATCH($C$7,Sales!$B$5:INDEX(Sales!$B$5:$B$20004,TxRows),0)+13))+INDEX(Sales!$P$5:INDEX(Sales!$P$5:$P$20004,TxRows),(MATCH($C$7,Sales!$B$5:INDEX(Sales!$B$5:$B$20004,TxRows),0)+13)))</f>
        <v/>
      </c>
      <c r="K26" s="95">
        <f>IF($A26="","",INDEX(Sales!$Q$5:INDEX(Sales!$Q$5:$Q$20004,TxRows),(MATCH($C$7,Sales!$B$5:INDEX(Sales!$B$5:$B$20004,TxRows),0)+13)))</f>
        <v/>
      </c>
    </row>
    <row r="27">
      <c r="A27" s="93">
        <f>IF(IFERROR(INDEX(Sales!$B$5:INDEX(Sales!$B$5:$B$20004,TxRows),(MATCH($C$7,Sales!$B$5:INDEX(Sales!$B$5:$B$20004,TxRows),0)+14))=$C$7,FALSE),15,"")</f>
        <v/>
      </c>
      <c r="B27" s="93">
        <f>IF($A27="","",INDEX(Sales!$D$5:INDEX(Sales!$D$5:$D$20004,TxRows),(MATCH($C$7,Sales!$B$5:INDEX(Sales!$B$5:$B$20004,TxRows),0)+14)))</f>
        <v/>
      </c>
      <c r="C27" s="93">
        <f>IF($A27="","",IFERROR(INDEX(Items!$E$5:$E$2004,INDEX(Sales!$U$5:INDEX(Sales!$U$5:$U$20004,TxRows),(MATCH($C$7,Sales!$B$5:INDEX(Sales!$B$5:$B$20004,TxRows),0)+14)))&amp;"",""))</f>
        <v/>
      </c>
      <c r="D27" s="94">
        <f>IF($A27="","",INDEX(Sales!$E$5:INDEX(Sales!$E$5:$E$20004,TxRows),(MATCH($C$7,Sales!$B$5:INDEX(Sales!$B$5:$B$20004,TxRows),0)+14)))</f>
        <v/>
      </c>
      <c r="E27" s="93">
        <f>IF($A27="","",INDEX(Sales!$J$5:INDEX(Sales!$J$5:$J$20004,TxRows),(MATCH($C$7,Sales!$B$5:INDEX(Sales!$B$5:$B$20004,TxRows),0)+14)))</f>
        <v/>
      </c>
      <c r="F27" s="95">
        <f>IF($A27="","",INDEX(Sales!$K$5:INDEX(Sales!$K$5:$K$20004,TxRows),(MATCH($C$7,Sales!$B$5:INDEX(Sales!$B$5:$B$20004,TxRows),0)+14)))</f>
        <v/>
      </c>
      <c r="G27" s="96">
        <f>IF($A27="","",N(INDEX(Sales!$G$5:INDEX(Sales!$G$5:$G$20004,TxRows),(MATCH($C$7,Sales!$B$5:INDEX(Sales!$B$5:$B$20004,TxRows),0)+14))))</f>
        <v/>
      </c>
      <c r="H27" s="95">
        <f>IF($A27="","",INDEX(Sales!$L$5:INDEX(Sales!$L$5:$L$20004,TxRows),(MATCH($C$7,Sales!$B$5:INDEX(Sales!$B$5:$B$20004,TxRows),0)+14)))</f>
        <v/>
      </c>
      <c r="I27" s="97">
        <f>IF($A27="","",INDEX(Sales!$M$5:INDEX(Sales!$M$5:$M$20004,TxRows),(MATCH($C$7,Sales!$B$5:INDEX(Sales!$B$5:$B$20004,TxRows),0)+14)))</f>
        <v/>
      </c>
      <c r="J27" s="95">
        <f>IF($A27="","",INDEX(Sales!$N$5:INDEX(Sales!$N$5:$N$20004,TxRows),(MATCH($C$7,Sales!$B$5:INDEX(Sales!$B$5:$B$20004,TxRows),0)+14))+INDEX(Sales!$O$5:INDEX(Sales!$O$5:$O$20004,TxRows),(MATCH($C$7,Sales!$B$5:INDEX(Sales!$B$5:$B$20004,TxRows),0)+14))+INDEX(Sales!$P$5:INDEX(Sales!$P$5:$P$20004,TxRows),(MATCH($C$7,Sales!$B$5:INDEX(Sales!$B$5:$B$20004,TxRows),0)+14)))</f>
        <v/>
      </c>
      <c r="K27" s="95">
        <f>IF($A27="","",INDEX(Sales!$Q$5:INDEX(Sales!$Q$5:$Q$20004,TxRows),(MATCH($C$7,Sales!$B$5:INDEX(Sales!$B$5:$B$20004,TxRows),0)+14)))</f>
        <v/>
      </c>
    </row>
    <row r="28">
      <c r="A28" s="93">
        <f>IF(IFERROR(INDEX(Sales!$B$5:INDEX(Sales!$B$5:$B$20004,TxRows),(MATCH($C$7,Sales!$B$5:INDEX(Sales!$B$5:$B$20004,TxRows),0)+15))=$C$7,FALSE),16,"")</f>
        <v/>
      </c>
      <c r="B28" s="93">
        <f>IF($A28="","",INDEX(Sales!$D$5:INDEX(Sales!$D$5:$D$20004,TxRows),(MATCH($C$7,Sales!$B$5:INDEX(Sales!$B$5:$B$20004,TxRows),0)+15)))</f>
        <v/>
      </c>
      <c r="C28" s="93">
        <f>IF($A28="","",IFERROR(INDEX(Items!$E$5:$E$2004,INDEX(Sales!$U$5:INDEX(Sales!$U$5:$U$20004,TxRows),(MATCH($C$7,Sales!$B$5:INDEX(Sales!$B$5:$B$20004,TxRows),0)+15)))&amp;"",""))</f>
        <v/>
      </c>
      <c r="D28" s="94">
        <f>IF($A28="","",INDEX(Sales!$E$5:INDEX(Sales!$E$5:$E$20004,TxRows),(MATCH($C$7,Sales!$B$5:INDEX(Sales!$B$5:$B$20004,TxRows),0)+15)))</f>
        <v/>
      </c>
      <c r="E28" s="93">
        <f>IF($A28="","",INDEX(Sales!$J$5:INDEX(Sales!$J$5:$J$20004,TxRows),(MATCH($C$7,Sales!$B$5:INDEX(Sales!$B$5:$B$20004,TxRows),0)+15)))</f>
        <v/>
      </c>
      <c r="F28" s="95">
        <f>IF($A28="","",INDEX(Sales!$K$5:INDEX(Sales!$K$5:$K$20004,TxRows),(MATCH($C$7,Sales!$B$5:INDEX(Sales!$B$5:$B$20004,TxRows),0)+15)))</f>
        <v/>
      </c>
      <c r="G28" s="96">
        <f>IF($A28="","",N(INDEX(Sales!$G$5:INDEX(Sales!$G$5:$G$20004,TxRows),(MATCH($C$7,Sales!$B$5:INDEX(Sales!$B$5:$B$20004,TxRows),0)+15))))</f>
        <v/>
      </c>
      <c r="H28" s="95">
        <f>IF($A28="","",INDEX(Sales!$L$5:INDEX(Sales!$L$5:$L$20004,TxRows),(MATCH($C$7,Sales!$B$5:INDEX(Sales!$B$5:$B$20004,TxRows),0)+15)))</f>
        <v/>
      </c>
      <c r="I28" s="97">
        <f>IF($A28="","",INDEX(Sales!$M$5:INDEX(Sales!$M$5:$M$20004,TxRows),(MATCH($C$7,Sales!$B$5:INDEX(Sales!$B$5:$B$20004,TxRows),0)+15)))</f>
        <v/>
      </c>
      <c r="J28" s="95">
        <f>IF($A28="","",INDEX(Sales!$N$5:INDEX(Sales!$N$5:$N$20004,TxRows),(MATCH($C$7,Sales!$B$5:INDEX(Sales!$B$5:$B$20004,TxRows),0)+15))+INDEX(Sales!$O$5:INDEX(Sales!$O$5:$O$20004,TxRows),(MATCH($C$7,Sales!$B$5:INDEX(Sales!$B$5:$B$20004,TxRows),0)+15))+INDEX(Sales!$P$5:INDEX(Sales!$P$5:$P$20004,TxRows),(MATCH($C$7,Sales!$B$5:INDEX(Sales!$B$5:$B$20004,TxRows),0)+15)))</f>
        <v/>
      </c>
      <c r="K28" s="95">
        <f>IF($A28="","",INDEX(Sales!$Q$5:INDEX(Sales!$Q$5:$Q$20004,TxRows),(MATCH($C$7,Sales!$B$5:INDEX(Sales!$B$5:$B$20004,TxRows),0)+15)))</f>
        <v/>
      </c>
    </row>
    <row r="29">
      <c r="A29" s="93">
        <f>IF(IFERROR(INDEX(Sales!$B$5:INDEX(Sales!$B$5:$B$20004,TxRows),(MATCH($C$7,Sales!$B$5:INDEX(Sales!$B$5:$B$20004,TxRows),0)+16))=$C$7,FALSE),17,"")</f>
        <v/>
      </c>
      <c r="B29" s="93">
        <f>IF($A29="","",INDEX(Sales!$D$5:INDEX(Sales!$D$5:$D$20004,TxRows),(MATCH($C$7,Sales!$B$5:INDEX(Sales!$B$5:$B$20004,TxRows),0)+16)))</f>
        <v/>
      </c>
      <c r="C29" s="93">
        <f>IF($A29="","",IFERROR(INDEX(Items!$E$5:$E$2004,INDEX(Sales!$U$5:INDEX(Sales!$U$5:$U$20004,TxRows),(MATCH($C$7,Sales!$B$5:INDEX(Sales!$B$5:$B$20004,TxRows),0)+16)))&amp;"",""))</f>
        <v/>
      </c>
      <c r="D29" s="94">
        <f>IF($A29="","",INDEX(Sales!$E$5:INDEX(Sales!$E$5:$E$20004,TxRows),(MATCH($C$7,Sales!$B$5:INDEX(Sales!$B$5:$B$20004,TxRows),0)+16)))</f>
        <v/>
      </c>
      <c r="E29" s="93">
        <f>IF($A29="","",INDEX(Sales!$J$5:INDEX(Sales!$J$5:$J$20004,TxRows),(MATCH($C$7,Sales!$B$5:INDEX(Sales!$B$5:$B$20004,TxRows),0)+16)))</f>
        <v/>
      </c>
      <c r="F29" s="95">
        <f>IF($A29="","",INDEX(Sales!$K$5:INDEX(Sales!$K$5:$K$20004,TxRows),(MATCH($C$7,Sales!$B$5:INDEX(Sales!$B$5:$B$20004,TxRows),0)+16)))</f>
        <v/>
      </c>
      <c r="G29" s="96">
        <f>IF($A29="","",N(INDEX(Sales!$G$5:INDEX(Sales!$G$5:$G$20004,TxRows),(MATCH($C$7,Sales!$B$5:INDEX(Sales!$B$5:$B$20004,TxRows),0)+16))))</f>
        <v/>
      </c>
      <c r="H29" s="95">
        <f>IF($A29="","",INDEX(Sales!$L$5:INDEX(Sales!$L$5:$L$20004,TxRows),(MATCH($C$7,Sales!$B$5:INDEX(Sales!$B$5:$B$20004,TxRows),0)+16)))</f>
        <v/>
      </c>
      <c r="I29" s="97">
        <f>IF($A29="","",INDEX(Sales!$M$5:INDEX(Sales!$M$5:$M$20004,TxRows),(MATCH($C$7,Sales!$B$5:INDEX(Sales!$B$5:$B$20004,TxRows),0)+16)))</f>
        <v/>
      </c>
      <c r="J29" s="95">
        <f>IF($A29="","",INDEX(Sales!$N$5:INDEX(Sales!$N$5:$N$20004,TxRows),(MATCH($C$7,Sales!$B$5:INDEX(Sales!$B$5:$B$20004,TxRows),0)+16))+INDEX(Sales!$O$5:INDEX(Sales!$O$5:$O$20004,TxRows),(MATCH($C$7,Sales!$B$5:INDEX(Sales!$B$5:$B$20004,TxRows),0)+16))+INDEX(Sales!$P$5:INDEX(Sales!$P$5:$P$20004,TxRows),(MATCH($C$7,Sales!$B$5:INDEX(Sales!$B$5:$B$20004,TxRows),0)+16)))</f>
        <v/>
      </c>
      <c r="K29" s="95">
        <f>IF($A29="","",INDEX(Sales!$Q$5:INDEX(Sales!$Q$5:$Q$20004,TxRows),(MATCH($C$7,Sales!$B$5:INDEX(Sales!$B$5:$B$20004,TxRows),0)+16)))</f>
        <v/>
      </c>
    </row>
    <row r="30">
      <c r="A30" s="93">
        <f>IF(IFERROR(INDEX(Sales!$B$5:INDEX(Sales!$B$5:$B$20004,TxRows),(MATCH($C$7,Sales!$B$5:INDEX(Sales!$B$5:$B$20004,TxRows),0)+17))=$C$7,FALSE),18,"")</f>
        <v/>
      </c>
      <c r="B30" s="93">
        <f>IF($A30="","",INDEX(Sales!$D$5:INDEX(Sales!$D$5:$D$20004,TxRows),(MATCH($C$7,Sales!$B$5:INDEX(Sales!$B$5:$B$20004,TxRows),0)+17)))</f>
        <v/>
      </c>
      <c r="C30" s="93">
        <f>IF($A30="","",IFERROR(INDEX(Items!$E$5:$E$2004,INDEX(Sales!$U$5:INDEX(Sales!$U$5:$U$20004,TxRows),(MATCH($C$7,Sales!$B$5:INDEX(Sales!$B$5:$B$20004,TxRows),0)+17)))&amp;"",""))</f>
        <v/>
      </c>
      <c r="D30" s="94">
        <f>IF($A30="","",INDEX(Sales!$E$5:INDEX(Sales!$E$5:$E$20004,TxRows),(MATCH($C$7,Sales!$B$5:INDEX(Sales!$B$5:$B$20004,TxRows),0)+17)))</f>
        <v/>
      </c>
      <c r="E30" s="93">
        <f>IF($A30="","",INDEX(Sales!$J$5:INDEX(Sales!$J$5:$J$20004,TxRows),(MATCH($C$7,Sales!$B$5:INDEX(Sales!$B$5:$B$20004,TxRows),0)+17)))</f>
        <v/>
      </c>
      <c r="F30" s="95">
        <f>IF($A30="","",INDEX(Sales!$K$5:INDEX(Sales!$K$5:$K$20004,TxRows),(MATCH($C$7,Sales!$B$5:INDEX(Sales!$B$5:$B$20004,TxRows),0)+17)))</f>
        <v/>
      </c>
      <c r="G30" s="96">
        <f>IF($A30="","",N(INDEX(Sales!$G$5:INDEX(Sales!$G$5:$G$20004,TxRows),(MATCH($C$7,Sales!$B$5:INDEX(Sales!$B$5:$B$20004,TxRows),0)+17))))</f>
        <v/>
      </c>
      <c r="H30" s="95">
        <f>IF($A30="","",INDEX(Sales!$L$5:INDEX(Sales!$L$5:$L$20004,TxRows),(MATCH($C$7,Sales!$B$5:INDEX(Sales!$B$5:$B$20004,TxRows),0)+17)))</f>
        <v/>
      </c>
      <c r="I30" s="97">
        <f>IF($A30="","",INDEX(Sales!$M$5:INDEX(Sales!$M$5:$M$20004,TxRows),(MATCH($C$7,Sales!$B$5:INDEX(Sales!$B$5:$B$20004,TxRows),0)+17)))</f>
        <v/>
      </c>
      <c r="J30" s="95">
        <f>IF($A30="","",INDEX(Sales!$N$5:INDEX(Sales!$N$5:$N$20004,TxRows),(MATCH($C$7,Sales!$B$5:INDEX(Sales!$B$5:$B$20004,TxRows),0)+17))+INDEX(Sales!$O$5:INDEX(Sales!$O$5:$O$20004,TxRows),(MATCH($C$7,Sales!$B$5:INDEX(Sales!$B$5:$B$20004,TxRows),0)+17))+INDEX(Sales!$P$5:INDEX(Sales!$P$5:$P$20004,TxRows),(MATCH($C$7,Sales!$B$5:INDEX(Sales!$B$5:$B$20004,TxRows),0)+17)))</f>
        <v/>
      </c>
      <c r="K30" s="95">
        <f>IF($A30="","",INDEX(Sales!$Q$5:INDEX(Sales!$Q$5:$Q$20004,TxRows),(MATCH($C$7,Sales!$B$5:INDEX(Sales!$B$5:$B$20004,TxRows),0)+17)))</f>
        <v/>
      </c>
    </row>
    <row r="31">
      <c r="A31" s="93">
        <f>IF(IFERROR(INDEX(Sales!$B$5:INDEX(Sales!$B$5:$B$20004,TxRows),(MATCH($C$7,Sales!$B$5:INDEX(Sales!$B$5:$B$20004,TxRows),0)+18))=$C$7,FALSE),19,"")</f>
        <v/>
      </c>
      <c r="B31" s="93">
        <f>IF($A31="","",INDEX(Sales!$D$5:INDEX(Sales!$D$5:$D$20004,TxRows),(MATCH($C$7,Sales!$B$5:INDEX(Sales!$B$5:$B$20004,TxRows),0)+18)))</f>
        <v/>
      </c>
      <c r="C31" s="93">
        <f>IF($A31="","",IFERROR(INDEX(Items!$E$5:$E$2004,INDEX(Sales!$U$5:INDEX(Sales!$U$5:$U$20004,TxRows),(MATCH($C$7,Sales!$B$5:INDEX(Sales!$B$5:$B$20004,TxRows),0)+18)))&amp;"",""))</f>
        <v/>
      </c>
      <c r="D31" s="94">
        <f>IF($A31="","",INDEX(Sales!$E$5:INDEX(Sales!$E$5:$E$20004,TxRows),(MATCH($C$7,Sales!$B$5:INDEX(Sales!$B$5:$B$20004,TxRows),0)+18)))</f>
        <v/>
      </c>
      <c r="E31" s="93">
        <f>IF($A31="","",INDEX(Sales!$J$5:INDEX(Sales!$J$5:$J$20004,TxRows),(MATCH($C$7,Sales!$B$5:INDEX(Sales!$B$5:$B$20004,TxRows),0)+18)))</f>
        <v/>
      </c>
      <c r="F31" s="95">
        <f>IF($A31="","",INDEX(Sales!$K$5:INDEX(Sales!$K$5:$K$20004,TxRows),(MATCH($C$7,Sales!$B$5:INDEX(Sales!$B$5:$B$20004,TxRows),0)+18)))</f>
        <v/>
      </c>
      <c r="G31" s="96">
        <f>IF($A31="","",N(INDEX(Sales!$G$5:INDEX(Sales!$G$5:$G$20004,TxRows),(MATCH($C$7,Sales!$B$5:INDEX(Sales!$B$5:$B$20004,TxRows),0)+18))))</f>
        <v/>
      </c>
      <c r="H31" s="95">
        <f>IF($A31="","",INDEX(Sales!$L$5:INDEX(Sales!$L$5:$L$20004,TxRows),(MATCH($C$7,Sales!$B$5:INDEX(Sales!$B$5:$B$20004,TxRows),0)+18)))</f>
        <v/>
      </c>
      <c r="I31" s="97">
        <f>IF($A31="","",INDEX(Sales!$M$5:INDEX(Sales!$M$5:$M$20004,TxRows),(MATCH($C$7,Sales!$B$5:INDEX(Sales!$B$5:$B$20004,TxRows),0)+18)))</f>
        <v/>
      </c>
      <c r="J31" s="95">
        <f>IF($A31="","",INDEX(Sales!$N$5:INDEX(Sales!$N$5:$N$20004,TxRows),(MATCH($C$7,Sales!$B$5:INDEX(Sales!$B$5:$B$20004,TxRows),0)+18))+INDEX(Sales!$O$5:INDEX(Sales!$O$5:$O$20004,TxRows),(MATCH($C$7,Sales!$B$5:INDEX(Sales!$B$5:$B$20004,TxRows),0)+18))+INDEX(Sales!$P$5:INDEX(Sales!$P$5:$P$20004,TxRows),(MATCH($C$7,Sales!$B$5:INDEX(Sales!$B$5:$B$20004,TxRows),0)+18)))</f>
        <v/>
      </c>
      <c r="K31" s="95">
        <f>IF($A31="","",INDEX(Sales!$Q$5:INDEX(Sales!$Q$5:$Q$20004,TxRows),(MATCH($C$7,Sales!$B$5:INDEX(Sales!$B$5:$B$20004,TxRows),0)+18)))</f>
        <v/>
      </c>
    </row>
    <row r="32">
      <c r="A32" s="93">
        <f>IF(IFERROR(INDEX(Sales!$B$5:INDEX(Sales!$B$5:$B$20004,TxRows),(MATCH($C$7,Sales!$B$5:INDEX(Sales!$B$5:$B$20004,TxRows),0)+19))=$C$7,FALSE),20,"")</f>
        <v/>
      </c>
      <c r="B32" s="93">
        <f>IF($A32="","",INDEX(Sales!$D$5:INDEX(Sales!$D$5:$D$20004,TxRows),(MATCH($C$7,Sales!$B$5:INDEX(Sales!$B$5:$B$20004,TxRows),0)+19)))</f>
        <v/>
      </c>
      <c r="C32" s="93">
        <f>IF($A32="","",IFERROR(INDEX(Items!$E$5:$E$2004,INDEX(Sales!$U$5:INDEX(Sales!$U$5:$U$20004,TxRows),(MATCH($C$7,Sales!$B$5:INDEX(Sales!$B$5:$B$20004,TxRows),0)+19)))&amp;"",""))</f>
        <v/>
      </c>
      <c r="D32" s="94">
        <f>IF($A32="","",INDEX(Sales!$E$5:INDEX(Sales!$E$5:$E$20004,TxRows),(MATCH($C$7,Sales!$B$5:INDEX(Sales!$B$5:$B$20004,TxRows),0)+19)))</f>
        <v/>
      </c>
      <c r="E32" s="93">
        <f>IF($A32="","",INDEX(Sales!$J$5:INDEX(Sales!$J$5:$J$20004,TxRows),(MATCH($C$7,Sales!$B$5:INDEX(Sales!$B$5:$B$20004,TxRows),0)+19)))</f>
        <v/>
      </c>
      <c r="F32" s="95">
        <f>IF($A32="","",INDEX(Sales!$K$5:INDEX(Sales!$K$5:$K$20004,TxRows),(MATCH($C$7,Sales!$B$5:INDEX(Sales!$B$5:$B$20004,TxRows),0)+19)))</f>
        <v/>
      </c>
      <c r="G32" s="96">
        <f>IF($A32="","",N(INDEX(Sales!$G$5:INDEX(Sales!$G$5:$G$20004,TxRows),(MATCH($C$7,Sales!$B$5:INDEX(Sales!$B$5:$B$20004,TxRows),0)+19))))</f>
        <v/>
      </c>
      <c r="H32" s="95">
        <f>IF($A32="","",INDEX(Sales!$L$5:INDEX(Sales!$L$5:$L$20004,TxRows),(MATCH($C$7,Sales!$B$5:INDEX(Sales!$B$5:$B$20004,TxRows),0)+19)))</f>
        <v/>
      </c>
      <c r="I32" s="97">
        <f>IF($A32="","",INDEX(Sales!$M$5:INDEX(Sales!$M$5:$M$20004,TxRows),(MATCH($C$7,Sales!$B$5:INDEX(Sales!$B$5:$B$20004,TxRows),0)+19)))</f>
        <v/>
      </c>
      <c r="J32" s="95">
        <f>IF($A32="","",INDEX(Sales!$N$5:INDEX(Sales!$N$5:$N$20004,TxRows),(MATCH($C$7,Sales!$B$5:INDEX(Sales!$B$5:$B$20004,TxRows),0)+19))+INDEX(Sales!$O$5:INDEX(Sales!$O$5:$O$20004,TxRows),(MATCH($C$7,Sales!$B$5:INDEX(Sales!$B$5:$B$20004,TxRows),0)+19))+INDEX(Sales!$P$5:INDEX(Sales!$P$5:$P$20004,TxRows),(MATCH($C$7,Sales!$B$5:INDEX(Sales!$B$5:$B$20004,TxRows),0)+19)))</f>
        <v/>
      </c>
      <c r="K32" s="95">
        <f>IF($A32="","",INDEX(Sales!$Q$5:INDEX(Sales!$Q$5:$Q$20004,TxRows),(MATCH($C$7,Sales!$B$5:INDEX(Sales!$B$5:$B$20004,TxRows),0)+19)))</f>
        <v/>
      </c>
    </row>
    <row r="34">
      <c r="B34" s="98">
        <f>IF(COUNTIF(A13:A32,"&gt;0")&gt;=20,"!! More than 20 lines: split the invoice","")</f>
        <v/>
      </c>
      <c r="H34" s="5" t="inlineStr">
        <is>
          <t>Taxable Value</t>
        </is>
      </c>
      <c r="K34" s="99">
        <f>SUMIFS(Sales!$L$5:INDEX(Sales!$L$5:$L$20004,TxRows),Sales!$B$5:INDEX(Sales!$B$5:$B$20004,TxRows),$C$7)</f>
        <v/>
      </c>
    </row>
    <row r="35">
      <c r="B35" s="88">
        <f>"Bank: "&amp;CoBank</f>
        <v/>
      </c>
      <c r="H35" s="5" t="inlineStr">
        <is>
          <t>CGST</t>
        </is>
      </c>
      <c r="K35" s="99">
        <f>SUMIFS(Sales!$N$5:INDEX(Sales!$N$5:$N$20004,TxRows),Sales!$B$5:INDEX(Sales!$B$5:$B$20004,TxRows),$C$7)</f>
        <v/>
      </c>
    </row>
    <row r="36">
      <c r="B36" s="88" t="inlineStr">
        <is>
          <t>Goods once sold will be taken back only as per store policy.</t>
        </is>
      </c>
      <c r="H36" s="5" t="inlineStr">
        <is>
          <t>SGST</t>
        </is>
      </c>
      <c r="K36" s="99">
        <f>SUMIFS(Sales!$O$5:INDEX(Sales!$O$5:$O$20004,TxRows),Sales!$B$5:INDEX(Sales!$B$5:$B$20004,TxRows),$C$7)</f>
        <v/>
      </c>
    </row>
    <row r="37">
      <c r="H37" s="5" t="inlineStr">
        <is>
          <t>IGST</t>
        </is>
      </c>
      <c r="K37" s="99">
        <f>SUMIFS(Sales!$P$5:INDEX(Sales!$P$5:$P$20004,TxRows),Sales!$B$5:INDEX(Sales!$B$5:$B$20004,TxRows),$C$7)</f>
        <v/>
      </c>
    </row>
    <row r="38">
      <c r="B38" s="88" t="inlineStr">
        <is>
          <t>Receiver's Signature</t>
        </is>
      </c>
      <c r="H38" s="5" t="inlineStr">
        <is>
          <t>Round Off</t>
        </is>
      </c>
      <c r="K38" s="99">
        <f>ROUND(SUM(K34:K37),0)-SUM(K34:K37)</f>
        <v/>
      </c>
    </row>
    <row r="39">
      <c r="H39" s="5" t="inlineStr">
        <is>
          <t>INVOICE TOTAL</t>
        </is>
      </c>
      <c r="K39" s="100">
        <f>SUM(K34:K38)</f>
        <v/>
      </c>
    </row>
    <row r="41">
      <c r="H41" s="88">
        <f>"For "&amp;CoName</f>
        <v/>
      </c>
    </row>
    <row r="43">
      <c r="H43" s="88" t="inlineStr">
        <is>
          <t>Authorised Signatory</t>
        </is>
      </c>
    </row>
  </sheetData>
  <mergeCells count="10">
    <mergeCell ref="H38:J38"/>
    <mergeCell ref="A3:K3"/>
    <mergeCell ref="H36:J36"/>
    <mergeCell ref="H37:J37"/>
    <mergeCell ref="A2:K2"/>
    <mergeCell ref="H34:J34"/>
    <mergeCell ref="H35:J35"/>
    <mergeCell ref="A5:K5"/>
    <mergeCell ref="H39:J39"/>
    <mergeCell ref="A1:K1"/>
  </mergeCells>
  <hyperlinks>
    <hyperlink xmlns:r="http://schemas.openxmlformats.org/officeDocument/2006/relationships" ref="M3" r:id="rId1"/>
  </hyperlinks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838F"/>
    <outlinePr summaryBelow="1" summaryRight="1"/>
    <pageSetUpPr/>
  </sheetPr>
  <dimension ref="A1:N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8" customHeight="1">
      <c r="A1" s="73" t="inlineStr">
        <is>
          <t>REPORTS: MONTHLY P&amp;L, GST, EXPENSES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Financial-year view built from all registers. Nothing to type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>
      <c r="A4" s="78" t="inlineStr">
        <is>
          <t>Month</t>
        </is>
      </c>
      <c r="B4" s="78" t="inlineStr">
        <is>
          <t>Sales (₹)</t>
        </is>
      </c>
      <c r="C4" s="78" t="inlineStr">
        <is>
          <t>COGS (₹)</t>
        </is>
      </c>
      <c r="D4" s="78" t="inlineStr">
        <is>
          <t>Gross Profit (₹)</t>
        </is>
      </c>
      <c r="E4" s="78" t="inlineStr">
        <is>
          <t>GP %</t>
        </is>
      </c>
      <c r="F4" s="78" t="inlineStr">
        <is>
          <t>Expenses (₹)</t>
        </is>
      </c>
      <c r="G4" s="78" t="inlineStr">
        <is>
          <t>Other Income (₹)</t>
        </is>
      </c>
      <c r="H4" s="78" t="inlineStr">
        <is>
          <t>Stock Loss/Gain (₹)</t>
        </is>
      </c>
      <c r="I4" s="78" t="inlineStr">
        <is>
          <t>Net Profit (₹)</t>
        </is>
      </c>
      <c r="J4" s="78" t="inlineStr">
        <is>
          <t>Purchases (₹)</t>
        </is>
      </c>
      <c r="K4" s="78" t="inlineStr">
        <is>
          <t>GST Output (₹)</t>
        </is>
      </c>
      <c r="L4" s="78" t="inlineStr">
        <is>
          <t>GST Input (₹)</t>
        </is>
      </c>
      <c r="M4" s="78" t="inlineStr">
        <is>
          <t>Net GST Payable (₹)</t>
        </is>
      </c>
    </row>
    <row r="5">
      <c r="A5" s="101">
        <f>EDATE(FYStart,0)</f>
        <v/>
      </c>
      <c r="B5" s="102">
        <f>SUMIFS(Sales!$L$5:INDEX(Sales!$L$5:$L$20004,TxRows),Sales!$A$5:INDEX(Sales!$A$5:$A$20004,TxRows),"&gt;="&amp;$A5,Sales!$A$5:INDEX(Sales!$A$5:$A$20004,TxRows),"&lt;"&amp;EDATE($A5,1))</f>
        <v/>
      </c>
      <c r="C5" s="102">
        <f>SUMIFS(Sales!$R$5:INDEX(Sales!$R$5:$R$20004,TxRows),Sales!$A$5:INDEX(Sales!$A$5:$A$20004,TxRows),"&gt;="&amp;$A5,Sales!$A$5:INDEX(Sales!$A$5:$A$20004,TxRows),"&lt;"&amp;EDATE($A5,1))</f>
        <v/>
      </c>
      <c r="D5" s="102">
        <f>B5-C5</f>
        <v/>
      </c>
      <c r="E5" s="96">
        <f>IF(B5=0,0,D5/B5)</f>
        <v/>
      </c>
      <c r="F5" s="102">
        <f>SUMIFS(CashBook!$G$5:INDEX(CashBook!$G$5:$G$20004,TxRows),CashBook!$C$5:INDEX(CashBook!$C$5:$C$20004,TxRows),"Expense",CashBook!$A$5:INDEX(CashBook!$A$5:$A$20004,TxRows),"&gt;="&amp;$A5,CashBook!$A$5:INDEX(CashBook!$A$5:$A$20004,TxRows),"&lt;"&amp;EDATE($A5,1))</f>
        <v/>
      </c>
      <c r="G5" s="102">
        <f>SUMIFS(CashBook!$G$5:INDEX(CashBook!$G$5:$G$20004,TxRows),CashBook!$C$5:INDEX(CashBook!$C$5:$C$20004,TxRows),"Other Income",CashBook!$A$5:INDEX(CashBook!$A$5:$A$20004,TxRows),"&gt;="&amp;$A5,CashBook!$A$5:INDEX(CashBook!$A$5:$A$20004,TxRows),"&lt;"&amp;EDATE($A5,1))</f>
        <v/>
      </c>
      <c r="H5" s="102">
        <f>SUMIFS(Adjustments!$G$5:$G$2004,Adjustments!$A$5:$A$2004,"&gt;="&amp;$A5,Adjustments!$A$5:$A$2004,"&lt;"&amp;EDATE($A5,1))</f>
        <v/>
      </c>
      <c r="I5" s="102">
        <f>D5-F5+G5+H5</f>
        <v/>
      </c>
      <c r="J5" s="102">
        <f>SUMIFS(Purchases!$K$5:INDEX(Purchases!$K$5:$K$20004,TxRows),Purchases!$A$5:INDEX(Purchases!$A$5:$A$20004,TxRows),"&gt;="&amp;$A5,Purchases!$A$5:INDEX(Purchases!$A$5:$A$20004,TxRows),"&lt;"&amp;EDATE($A5,1))</f>
        <v/>
      </c>
      <c r="K5" s="102">
        <f>SUMIFS(Sales!$N$5:INDEX(Sales!$N$5:$N$20004,TxRows),Sales!$A$5:INDEX(Sales!$A$5:$A$20004,TxRows),"&gt;="&amp;$A5,Sales!$A$5:INDEX(Sales!$A$5:$A$20004,TxRows),"&lt;"&amp;EDATE($A5,1))+SUMIFS(Sales!$O$5:INDEX(Sales!$O$5:$O$20004,TxRows),Sales!$A$5:INDEX(Sales!$A$5:$A$20004,TxRows),"&gt;="&amp;$A5,Sales!$A$5:INDEX(Sales!$A$5:$A$20004,TxRows),"&lt;"&amp;EDATE($A5,1))+SUMIFS(Sales!$P$5:INDEX(Sales!$P$5:$P$20004,TxRows),Sales!$A$5:INDEX(Sales!$A$5:$A$20004,TxRows),"&gt;="&amp;$A5,Sales!$A$5:INDEX(Sales!$A$5:$A$20004,TxRows),"&lt;"&amp;EDATE($A5,1))</f>
        <v/>
      </c>
      <c r="L5" s="102">
        <f>SUMIFS(Purchases!$M$5:INDEX(Purchases!$M$5:$M$20004,TxRows),Purchases!$A$5:INDEX(Purchases!$A$5:$A$20004,TxRows),"&gt;="&amp;$A5,Purchases!$A$5:INDEX(Purchases!$A$5:$A$20004,TxRows),"&lt;"&amp;EDATE($A5,1))+SUMIFS(Purchases!$N$5:INDEX(Purchases!$N$5:$N$20004,TxRows),Purchases!$A$5:INDEX(Purchases!$A$5:$A$20004,TxRows),"&gt;="&amp;$A5,Purchases!$A$5:INDEX(Purchases!$A$5:$A$20004,TxRows),"&lt;"&amp;EDATE($A5,1))+SUMIFS(Purchases!$O$5:INDEX(Purchases!$O$5:$O$20004,TxRows),Purchases!$A$5:INDEX(Purchases!$A$5:$A$20004,TxRows),"&gt;="&amp;$A5,Purchases!$A$5:INDEX(Purchases!$A$5:$A$20004,TxRows),"&lt;"&amp;EDATE($A5,1))</f>
        <v/>
      </c>
      <c r="M5" s="102">
        <f>K5-L5</f>
        <v/>
      </c>
    </row>
    <row r="6">
      <c r="A6" s="101">
        <f>EDATE(FYStart,1)</f>
        <v/>
      </c>
      <c r="B6" s="102">
        <f>SUMIFS(Sales!$L$5:INDEX(Sales!$L$5:$L$20004,TxRows),Sales!$A$5:INDEX(Sales!$A$5:$A$20004,TxRows),"&gt;="&amp;$A6,Sales!$A$5:INDEX(Sales!$A$5:$A$20004,TxRows),"&lt;"&amp;EDATE($A6,1))</f>
        <v/>
      </c>
      <c r="C6" s="102">
        <f>SUMIFS(Sales!$R$5:INDEX(Sales!$R$5:$R$20004,TxRows),Sales!$A$5:INDEX(Sales!$A$5:$A$20004,TxRows),"&gt;="&amp;$A6,Sales!$A$5:INDEX(Sales!$A$5:$A$20004,TxRows),"&lt;"&amp;EDATE($A6,1))</f>
        <v/>
      </c>
      <c r="D6" s="102">
        <f>B6-C6</f>
        <v/>
      </c>
      <c r="E6" s="96">
        <f>IF(B6=0,0,D6/B6)</f>
        <v/>
      </c>
      <c r="F6" s="102">
        <f>SUMIFS(CashBook!$G$5:INDEX(CashBook!$G$5:$G$20004,TxRows),CashBook!$C$5:INDEX(CashBook!$C$5:$C$20004,TxRows),"Expense",CashBook!$A$5:INDEX(CashBook!$A$5:$A$20004,TxRows),"&gt;="&amp;$A6,CashBook!$A$5:INDEX(CashBook!$A$5:$A$20004,TxRows),"&lt;"&amp;EDATE($A6,1))</f>
        <v/>
      </c>
      <c r="G6" s="102">
        <f>SUMIFS(CashBook!$G$5:INDEX(CashBook!$G$5:$G$20004,TxRows),CashBook!$C$5:INDEX(CashBook!$C$5:$C$20004,TxRows),"Other Income",CashBook!$A$5:INDEX(CashBook!$A$5:$A$20004,TxRows),"&gt;="&amp;$A6,CashBook!$A$5:INDEX(CashBook!$A$5:$A$20004,TxRows),"&lt;"&amp;EDATE($A6,1))</f>
        <v/>
      </c>
      <c r="H6" s="102">
        <f>SUMIFS(Adjustments!$G$5:$G$2004,Adjustments!$A$5:$A$2004,"&gt;="&amp;$A6,Adjustments!$A$5:$A$2004,"&lt;"&amp;EDATE($A6,1))</f>
        <v/>
      </c>
      <c r="I6" s="102">
        <f>D6-F6+G6+H6</f>
        <v/>
      </c>
      <c r="J6" s="102">
        <f>SUMIFS(Purchases!$K$5:INDEX(Purchases!$K$5:$K$20004,TxRows),Purchases!$A$5:INDEX(Purchases!$A$5:$A$20004,TxRows),"&gt;="&amp;$A6,Purchases!$A$5:INDEX(Purchases!$A$5:$A$20004,TxRows),"&lt;"&amp;EDATE($A6,1))</f>
        <v/>
      </c>
      <c r="K6" s="102">
        <f>SUMIFS(Sales!$N$5:INDEX(Sales!$N$5:$N$20004,TxRows),Sales!$A$5:INDEX(Sales!$A$5:$A$20004,TxRows),"&gt;="&amp;$A6,Sales!$A$5:INDEX(Sales!$A$5:$A$20004,TxRows),"&lt;"&amp;EDATE($A6,1))+SUMIFS(Sales!$O$5:INDEX(Sales!$O$5:$O$20004,TxRows),Sales!$A$5:INDEX(Sales!$A$5:$A$20004,TxRows),"&gt;="&amp;$A6,Sales!$A$5:INDEX(Sales!$A$5:$A$20004,TxRows),"&lt;"&amp;EDATE($A6,1))+SUMIFS(Sales!$P$5:INDEX(Sales!$P$5:$P$20004,TxRows),Sales!$A$5:INDEX(Sales!$A$5:$A$20004,TxRows),"&gt;="&amp;$A6,Sales!$A$5:INDEX(Sales!$A$5:$A$20004,TxRows),"&lt;"&amp;EDATE($A6,1))</f>
        <v/>
      </c>
      <c r="L6" s="102">
        <f>SUMIFS(Purchases!$M$5:INDEX(Purchases!$M$5:$M$20004,TxRows),Purchases!$A$5:INDEX(Purchases!$A$5:$A$20004,TxRows),"&gt;="&amp;$A6,Purchases!$A$5:INDEX(Purchases!$A$5:$A$20004,TxRows),"&lt;"&amp;EDATE($A6,1))+SUMIFS(Purchases!$N$5:INDEX(Purchases!$N$5:$N$20004,TxRows),Purchases!$A$5:INDEX(Purchases!$A$5:$A$20004,TxRows),"&gt;="&amp;$A6,Purchases!$A$5:INDEX(Purchases!$A$5:$A$20004,TxRows),"&lt;"&amp;EDATE($A6,1))+SUMIFS(Purchases!$O$5:INDEX(Purchases!$O$5:$O$20004,TxRows),Purchases!$A$5:INDEX(Purchases!$A$5:$A$20004,TxRows),"&gt;="&amp;$A6,Purchases!$A$5:INDEX(Purchases!$A$5:$A$20004,TxRows),"&lt;"&amp;EDATE($A6,1))</f>
        <v/>
      </c>
      <c r="M6" s="102">
        <f>K6-L6</f>
        <v/>
      </c>
    </row>
    <row r="7">
      <c r="A7" s="101">
        <f>EDATE(FYStart,2)</f>
        <v/>
      </c>
      <c r="B7" s="102">
        <f>SUMIFS(Sales!$L$5:INDEX(Sales!$L$5:$L$20004,TxRows),Sales!$A$5:INDEX(Sales!$A$5:$A$20004,TxRows),"&gt;="&amp;$A7,Sales!$A$5:INDEX(Sales!$A$5:$A$20004,TxRows),"&lt;"&amp;EDATE($A7,1))</f>
        <v/>
      </c>
      <c r="C7" s="102">
        <f>SUMIFS(Sales!$R$5:INDEX(Sales!$R$5:$R$20004,TxRows),Sales!$A$5:INDEX(Sales!$A$5:$A$20004,TxRows),"&gt;="&amp;$A7,Sales!$A$5:INDEX(Sales!$A$5:$A$20004,TxRows),"&lt;"&amp;EDATE($A7,1))</f>
        <v/>
      </c>
      <c r="D7" s="102">
        <f>B7-C7</f>
        <v/>
      </c>
      <c r="E7" s="96">
        <f>IF(B7=0,0,D7/B7)</f>
        <v/>
      </c>
      <c r="F7" s="102">
        <f>SUMIFS(CashBook!$G$5:INDEX(CashBook!$G$5:$G$20004,TxRows),CashBook!$C$5:INDEX(CashBook!$C$5:$C$20004,TxRows),"Expense",CashBook!$A$5:INDEX(CashBook!$A$5:$A$20004,TxRows),"&gt;="&amp;$A7,CashBook!$A$5:INDEX(CashBook!$A$5:$A$20004,TxRows),"&lt;"&amp;EDATE($A7,1))</f>
        <v/>
      </c>
      <c r="G7" s="102">
        <f>SUMIFS(CashBook!$G$5:INDEX(CashBook!$G$5:$G$20004,TxRows),CashBook!$C$5:INDEX(CashBook!$C$5:$C$20004,TxRows),"Other Income",CashBook!$A$5:INDEX(CashBook!$A$5:$A$20004,TxRows),"&gt;="&amp;$A7,CashBook!$A$5:INDEX(CashBook!$A$5:$A$20004,TxRows),"&lt;"&amp;EDATE($A7,1))</f>
        <v/>
      </c>
      <c r="H7" s="102">
        <f>SUMIFS(Adjustments!$G$5:$G$2004,Adjustments!$A$5:$A$2004,"&gt;="&amp;$A7,Adjustments!$A$5:$A$2004,"&lt;"&amp;EDATE($A7,1))</f>
        <v/>
      </c>
      <c r="I7" s="102">
        <f>D7-F7+G7+H7</f>
        <v/>
      </c>
      <c r="J7" s="102">
        <f>SUMIFS(Purchases!$K$5:INDEX(Purchases!$K$5:$K$20004,TxRows),Purchases!$A$5:INDEX(Purchases!$A$5:$A$20004,TxRows),"&gt;="&amp;$A7,Purchases!$A$5:INDEX(Purchases!$A$5:$A$20004,TxRows),"&lt;"&amp;EDATE($A7,1))</f>
        <v/>
      </c>
      <c r="K7" s="102">
        <f>SUMIFS(Sales!$N$5:INDEX(Sales!$N$5:$N$20004,TxRows),Sales!$A$5:INDEX(Sales!$A$5:$A$20004,TxRows),"&gt;="&amp;$A7,Sales!$A$5:INDEX(Sales!$A$5:$A$20004,TxRows),"&lt;"&amp;EDATE($A7,1))+SUMIFS(Sales!$O$5:INDEX(Sales!$O$5:$O$20004,TxRows),Sales!$A$5:INDEX(Sales!$A$5:$A$20004,TxRows),"&gt;="&amp;$A7,Sales!$A$5:INDEX(Sales!$A$5:$A$20004,TxRows),"&lt;"&amp;EDATE($A7,1))+SUMIFS(Sales!$P$5:INDEX(Sales!$P$5:$P$20004,TxRows),Sales!$A$5:INDEX(Sales!$A$5:$A$20004,TxRows),"&gt;="&amp;$A7,Sales!$A$5:INDEX(Sales!$A$5:$A$20004,TxRows),"&lt;"&amp;EDATE($A7,1))</f>
        <v/>
      </c>
      <c r="L7" s="102">
        <f>SUMIFS(Purchases!$M$5:INDEX(Purchases!$M$5:$M$20004,TxRows),Purchases!$A$5:INDEX(Purchases!$A$5:$A$20004,TxRows),"&gt;="&amp;$A7,Purchases!$A$5:INDEX(Purchases!$A$5:$A$20004,TxRows),"&lt;"&amp;EDATE($A7,1))+SUMIFS(Purchases!$N$5:INDEX(Purchases!$N$5:$N$20004,TxRows),Purchases!$A$5:INDEX(Purchases!$A$5:$A$20004,TxRows),"&gt;="&amp;$A7,Purchases!$A$5:INDEX(Purchases!$A$5:$A$20004,TxRows),"&lt;"&amp;EDATE($A7,1))+SUMIFS(Purchases!$O$5:INDEX(Purchases!$O$5:$O$20004,TxRows),Purchases!$A$5:INDEX(Purchases!$A$5:$A$20004,TxRows),"&gt;="&amp;$A7,Purchases!$A$5:INDEX(Purchases!$A$5:$A$20004,TxRows),"&lt;"&amp;EDATE($A7,1))</f>
        <v/>
      </c>
      <c r="M7" s="102">
        <f>K7-L7</f>
        <v/>
      </c>
    </row>
    <row r="8">
      <c r="A8" s="101">
        <f>EDATE(FYStart,3)</f>
        <v/>
      </c>
      <c r="B8" s="102">
        <f>SUMIFS(Sales!$L$5:INDEX(Sales!$L$5:$L$20004,TxRows),Sales!$A$5:INDEX(Sales!$A$5:$A$20004,TxRows),"&gt;="&amp;$A8,Sales!$A$5:INDEX(Sales!$A$5:$A$20004,TxRows),"&lt;"&amp;EDATE($A8,1))</f>
        <v/>
      </c>
      <c r="C8" s="102">
        <f>SUMIFS(Sales!$R$5:INDEX(Sales!$R$5:$R$20004,TxRows),Sales!$A$5:INDEX(Sales!$A$5:$A$20004,TxRows),"&gt;="&amp;$A8,Sales!$A$5:INDEX(Sales!$A$5:$A$20004,TxRows),"&lt;"&amp;EDATE($A8,1))</f>
        <v/>
      </c>
      <c r="D8" s="102">
        <f>B8-C8</f>
        <v/>
      </c>
      <c r="E8" s="96">
        <f>IF(B8=0,0,D8/B8)</f>
        <v/>
      </c>
      <c r="F8" s="102">
        <f>SUMIFS(CashBook!$G$5:INDEX(CashBook!$G$5:$G$20004,TxRows),CashBook!$C$5:INDEX(CashBook!$C$5:$C$20004,TxRows),"Expense",CashBook!$A$5:INDEX(CashBook!$A$5:$A$20004,TxRows),"&gt;="&amp;$A8,CashBook!$A$5:INDEX(CashBook!$A$5:$A$20004,TxRows),"&lt;"&amp;EDATE($A8,1))</f>
        <v/>
      </c>
      <c r="G8" s="102">
        <f>SUMIFS(CashBook!$G$5:INDEX(CashBook!$G$5:$G$20004,TxRows),CashBook!$C$5:INDEX(CashBook!$C$5:$C$20004,TxRows),"Other Income",CashBook!$A$5:INDEX(CashBook!$A$5:$A$20004,TxRows),"&gt;="&amp;$A8,CashBook!$A$5:INDEX(CashBook!$A$5:$A$20004,TxRows),"&lt;"&amp;EDATE($A8,1))</f>
        <v/>
      </c>
      <c r="H8" s="102">
        <f>SUMIFS(Adjustments!$G$5:$G$2004,Adjustments!$A$5:$A$2004,"&gt;="&amp;$A8,Adjustments!$A$5:$A$2004,"&lt;"&amp;EDATE($A8,1))</f>
        <v/>
      </c>
      <c r="I8" s="102">
        <f>D8-F8+G8+H8</f>
        <v/>
      </c>
      <c r="J8" s="102">
        <f>SUMIFS(Purchases!$K$5:INDEX(Purchases!$K$5:$K$20004,TxRows),Purchases!$A$5:INDEX(Purchases!$A$5:$A$20004,TxRows),"&gt;="&amp;$A8,Purchases!$A$5:INDEX(Purchases!$A$5:$A$20004,TxRows),"&lt;"&amp;EDATE($A8,1))</f>
        <v/>
      </c>
      <c r="K8" s="102">
        <f>SUMIFS(Sales!$N$5:INDEX(Sales!$N$5:$N$20004,TxRows),Sales!$A$5:INDEX(Sales!$A$5:$A$20004,TxRows),"&gt;="&amp;$A8,Sales!$A$5:INDEX(Sales!$A$5:$A$20004,TxRows),"&lt;"&amp;EDATE($A8,1))+SUMIFS(Sales!$O$5:INDEX(Sales!$O$5:$O$20004,TxRows),Sales!$A$5:INDEX(Sales!$A$5:$A$20004,TxRows),"&gt;="&amp;$A8,Sales!$A$5:INDEX(Sales!$A$5:$A$20004,TxRows),"&lt;"&amp;EDATE($A8,1))+SUMIFS(Sales!$P$5:INDEX(Sales!$P$5:$P$20004,TxRows),Sales!$A$5:INDEX(Sales!$A$5:$A$20004,TxRows),"&gt;="&amp;$A8,Sales!$A$5:INDEX(Sales!$A$5:$A$20004,TxRows),"&lt;"&amp;EDATE($A8,1))</f>
        <v/>
      </c>
      <c r="L8" s="102">
        <f>SUMIFS(Purchases!$M$5:INDEX(Purchases!$M$5:$M$20004,TxRows),Purchases!$A$5:INDEX(Purchases!$A$5:$A$20004,TxRows),"&gt;="&amp;$A8,Purchases!$A$5:INDEX(Purchases!$A$5:$A$20004,TxRows),"&lt;"&amp;EDATE($A8,1))+SUMIFS(Purchases!$N$5:INDEX(Purchases!$N$5:$N$20004,TxRows),Purchases!$A$5:INDEX(Purchases!$A$5:$A$20004,TxRows),"&gt;="&amp;$A8,Purchases!$A$5:INDEX(Purchases!$A$5:$A$20004,TxRows),"&lt;"&amp;EDATE($A8,1))+SUMIFS(Purchases!$O$5:INDEX(Purchases!$O$5:$O$20004,TxRows),Purchases!$A$5:INDEX(Purchases!$A$5:$A$20004,TxRows),"&gt;="&amp;$A8,Purchases!$A$5:INDEX(Purchases!$A$5:$A$20004,TxRows),"&lt;"&amp;EDATE($A8,1))</f>
        <v/>
      </c>
      <c r="M8" s="102">
        <f>K8-L8</f>
        <v/>
      </c>
    </row>
    <row r="9">
      <c r="A9" s="101">
        <f>EDATE(FYStart,4)</f>
        <v/>
      </c>
      <c r="B9" s="102">
        <f>SUMIFS(Sales!$L$5:INDEX(Sales!$L$5:$L$20004,TxRows),Sales!$A$5:INDEX(Sales!$A$5:$A$20004,TxRows),"&gt;="&amp;$A9,Sales!$A$5:INDEX(Sales!$A$5:$A$20004,TxRows),"&lt;"&amp;EDATE($A9,1))</f>
        <v/>
      </c>
      <c r="C9" s="102">
        <f>SUMIFS(Sales!$R$5:INDEX(Sales!$R$5:$R$20004,TxRows),Sales!$A$5:INDEX(Sales!$A$5:$A$20004,TxRows),"&gt;="&amp;$A9,Sales!$A$5:INDEX(Sales!$A$5:$A$20004,TxRows),"&lt;"&amp;EDATE($A9,1))</f>
        <v/>
      </c>
      <c r="D9" s="102">
        <f>B9-C9</f>
        <v/>
      </c>
      <c r="E9" s="96">
        <f>IF(B9=0,0,D9/B9)</f>
        <v/>
      </c>
      <c r="F9" s="102">
        <f>SUMIFS(CashBook!$G$5:INDEX(CashBook!$G$5:$G$20004,TxRows),CashBook!$C$5:INDEX(CashBook!$C$5:$C$20004,TxRows),"Expense",CashBook!$A$5:INDEX(CashBook!$A$5:$A$20004,TxRows),"&gt;="&amp;$A9,CashBook!$A$5:INDEX(CashBook!$A$5:$A$20004,TxRows),"&lt;"&amp;EDATE($A9,1))</f>
        <v/>
      </c>
      <c r="G9" s="102">
        <f>SUMIFS(CashBook!$G$5:INDEX(CashBook!$G$5:$G$20004,TxRows),CashBook!$C$5:INDEX(CashBook!$C$5:$C$20004,TxRows),"Other Income",CashBook!$A$5:INDEX(CashBook!$A$5:$A$20004,TxRows),"&gt;="&amp;$A9,CashBook!$A$5:INDEX(CashBook!$A$5:$A$20004,TxRows),"&lt;"&amp;EDATE($A9,1))</f>
        <v/>
      </c>
      <c r="H9" s="102">
        <f>SUMIFS(Adjustments!$G$5:$G$2004,Adjustments!$A$5:$A$2004,"&gt;="&amp;$A9,Adjustments!$A$5:$A$2004,"&lt;"&amp;EDATE($A9,1))</f>
        <v/>
      </c>
      <c r="I9" s="102">
        <f>D9-F9+G9+H9</f>
        <v/>
      </c>
      <c r="J9" s="102">
        <f>SUMIFS(Purchases!$K$5:INDEX(Purchases!$K$5:$K$20004,TxRows),Purchases!$A$5:INDEX(Purchases!$A$5:$A$20004,TxRows),"&gt;="&amp;$A9,Purchases!$A$5:INDEX(Purchases!$A$5:$A$20004,TxRows),"&lt;"&amp;EDATE($A9,1))</f>
        <v/>
      </c>
      <c r="K9" s="102">
        <f>SUMIFS(Sales!$N$5:INDEX(Sales!$N$5:$N$20004,TxRows),Sales!$A$5:INDEX(Sales!$A$5:$A$20004,TxRows),"&gt;="&amp;$A9,Sales!$A$5:INDEX(Sales!$A$5:$A$20004,TxRows),"&lt;"&amp;EDATE($A9,1))+SUMIFS(Sales!$O$5:INDEX(Sales!$O$5:$O$20004,TxRows),Sales!$A$5:INDEX(Sales!$A$5:$A$20004,TxRows),"&gt;="&amp;$A9,Sales!$A$5:INDEX(Sales!$A$5:$A$20004,TxRows),"&lt;"&amp;EDATE($A9,1))+SUMIFS(Sales!$P$5:INDEX(Sales!$P$5:$P$20004,TxRows),Sales!$A$5:INDEX(Sales!$A$5:$A$20004,TxRows),"&gt;="&amp;$A9,Sales!$A$5:INDEX(Sales!$A$5:$A$20004,TxRows),"&lt;"&amp;EDATE($A9,1))</f>
        <v/>
      </c>
      <c r="L9" s="102">
        <f>SUMIFS(Purchases!$M$5:INDEX(Purchases!$M$5:$M$20004,TxRows),Purchases!$A$5:INDEX(Purchases!$A$5:$A$20004,TxRows),"&gt;="&amp;$A9,Purchases!$A$5:INDEX(Purchases!$A$5:$A$20004,TxRows),"&lt;"&amp;EDATE($A9,1))+SUMIFS(Purchases!$N$5:INDEX(Purchases!$N$5:$N$20004,TxRows),Purchases!$A$5:INDEX(Purchases!$A$5:$A$20004,TxRows),"&gt;="&amp;$A9,Purchases!$A$5:INDEX(Purchases!$A$5:$A$20004,TxRows),"&lt;"&amp;EDATE($A9,1))+SUMIFS(Purchases!$O$5:INDEX(Purchases!$O$5:$O$20004,TxRows),Purchases!$A$5:INDEX(Purchases!$A$5:$A$20004,TxRows),"&gt;="&amp;$A9,Purchases!$A$5:INDEX(Purchases!$A$5:$A$20004,TxRows),"&lt;"&amp;EDATE($A9,1))</f>
        <v/>
      </c>
      <c r="M9" s="102">
        <f>K9-L9</f>
        <v/>
      </c>
    </row>
    <row r="10">
      <c r="A10" s="101">
        <f>EDATE(FYStart,5)</f>
        <v/>
      </c>
      <c r="B10" s="102">
        <f>SUMIFS(Sales!$L$5:INDEX(Sales!$L$5:$L$20004,TxRows),Sales!$A$5:INDEX(Sales!$A$5:$A$20004,TxRows),"&gt;="&amp;$A10,Sales!$A$5:INDEX(Sales!$A$5:$A$20004,TxRows),"&lt;"&amp;EDATE($A10,1))</f>
        <v/>
      </c>
      <c r="C10" s="102">
        <f>SUMIFS(Sales!$R$5:INDEX(Sales!$R$5:$R$20004,TxRows),Sales!$A$5:INDEX(Sales!$A$5:$A$20004,TxRows),"&gt;="&amp;$A10,Sales!$A$5:INDEX(Sales!$A$5:$A$20004,TxRows),"&lt;"&amp;EDATE($A10,1))</f>
        <v/>
      </c>
      <c r="D10" s="102">
        <f>B10-C10</f>
        <v/>
      </c>
      <c r="E10" s="96">
        <f>IF(B10=0,0,D10/B10)</f>
        <v/>
      </c>
      <c r="F10" s="102">
        <f>SUMIFS(CashBook!$G$5:INDEX(CashBook!$G$5:$G$20004,TxRows),CashBook!$C$5:INDEX(CashBook!$C$5:$C$20004,TxRows),"Expense",CashBook!$A$5:INDEX(CashBook!$A$5:$A$20004,TxRows),"&gt;="&amp;$A10,CashBook!$A$5:INDEX(CashBook!$A$5:$A$20004,TxRows),"&lt;"&amp;EDATE($A10,1))</f>
        <v/>
      </c>
      <c r="G10" s="102">
        <f>SUMIFS(CashBook!$G$5:INDEX(CashBook!$G$5:$G$20004,TxRows),CashBook!$C$5:INDEX(CashBook!$C$5:$C$20004,TxRows),"Other Income",CashBook!$A$5:INDEX(CashBook!$A$5:$A$20004,TxRows),"&gt;="&amp;$A10,CashBook!$A$5:INDEX(CashBook!$A$5:$A$20004,TxRows),"&lt;"&amp;EDATE($A10,1))</f>
        <v/>
      </c>
      <c r="H10" s="102">
        <f>SUMIFS(Adjustments!$G$5:$G$2004,Adjustments!$A$5:$A$2004,"&gt;="&amp;$A10,Adjustments!$A$5:$A$2004,"&lt;"&amp;EDATE($A10,1))</f>
        <v/>
      </c>
      <c r="I10" s="102">
        <f>D10-F10+G10+H10</f>
        <v/>
      </c>
      <c r="J10" s="102">
        <f>SUMIFS(Purchases!$K$5:INDEX(Purchases!$K$5:$K$20004,TxRows),Purchases!$A$5:INDEX(Purchases!$A$5:$A$20004,TxRows),"&gt;="&amp;$A10,Purchases!$A$5:INDEX(Purchases!$A$5:$A$20004,TxRows),"&lt;"&amp;EDATE($A10,1))</f>
        <v/>
      </c>
      <c r="K10" s="102">
        <f>SUMIFS(Sales!$N$5:INDEX(Sales!$N$5:$N$20004,TxRows),Sales!$A$5:INDEX(Sales!$A$5:$A$20004,TxRows),"&gt;="&amp;$A10,Sales!$A$5:INDEX(Sales!$A$5:$A$20004,TxRows),"&lt;"&amp;EDATE($A10,1))+SUMIFS(Sales!$O$5:INDEX(Sales!$O$5:$O$20004,TxRows),Sales!$A$5:INDEX(Sales!$A$5:$A$20004,TxRows),"&gt;="&amp;$A10,Sales!$A$5:INDEX(Sales!$A$5:$A$20004,TxRows),"&lt;"&amp;EDATE($A10,1))+SUMIFS(Sales!$P$5:INDEX(Sales!$P$5:$P$20004,TxRows),Sales!$A$5:INDEX(Sales!$A$5:$A$20004,TxRows),"&gt;="&amp;$A10,Sales!$A$5:INDEX(Sales!$A$5:$A$20004,TxRows),"&lt;"&amp;EDATE($A10,1))</f>
        <v/>
      </c>
      <c r="L10" s="102">
        <f>SUMIFS(Purchases!$M$5:INDEX(Purchases!$M$5:$M$20004,TxRows),Purchases!$A$5:INDEX(Purchases!$A$5:$A$20004,TxRows),"&gt;="&amp;$A10,Purchases!$A$5:INDEX(Purchases!$A$5:$A$20004,TxRows),"&lt;"&amp;EDATE($A10,1))+SUMIFS(Purchases!$N$5:INDEX(Purchases!$N$5:$N$20004,TxRows),Purchases!$A$5:INDEX(Purchases!$A$5:$A$20004,TxRows),"&gt;="&amp;$A10,Purchases!$A$5:INDEX(Purchases!$A$5:$A$20004,TxRows),"&lt;"&amp;EDATE($A10,1))+SUMIFS(Purchases!$O$5:INDEX(Purchases!$O$5:$O$20004,TxRows),Purchases!$A$5:INDEX(Purchases!$A$5:$A$20004,TxRows),"&gt;="&amp;$A10,Purchases!$A$5:INDEX(Purchases!$A$5:$A$20004,TxRows),"&lt;"&amp;EDATE($A10,1))</f>
        <v/>
      </c>
      <c r="M10" s="102">
        <f>K10-L10</f>
        <v/>
      </c>
    </row>
    <row r="11">
      <c r="A11" s="101">
        <f>EDATE(FYStart,6)</f>
        <v/>
      </c>
      <c r="B11" s="102">
        <f>SUMIFS(Sales!$L$5:INDEX(Sales!$L$5:$L$20004,TxRows),Sales!$A$5:INDEX(Sales!$A$5:$A$20004,TxRows),"&gt;="&amp;$A11,Sales!$A$5:INDEX(Sales!$A$5:$A$20004,TxRows),"&lt;"&amp;EDATE($A11,1))</f>
        <v/>
      </c>
      <c r="C11" s="102">
        <f>SUMIFS(Sales!$R$5:INDEX(Sales!$R$5:$R$20004,TxRows),Sales!$A$5:INDEX(Sales!$A$5:$A$20004,TxRows),"&gt;="&amp;$A11,Sales!$A$5:INDEX(Sales!$A$5:$A$20004,TxRows),"&lt;"&amp;EDATE($A11,1))</f>
        <v/>
      </c>
      <c r="D11" s="102">
        <f>B11-C11</f>
        <v/>
      </c>
      <c r="E11" s="96">
        <f>IF(B11=0,0,D11/B11)</f>
        <v/>
      </c>
      <c r="F11" s="102">
        <f>SUMIFS(CashBook!$G$5:INDEX(CashBook!$G$5:$G$20004,TxRows),CashBook!$C$5:INDEX(CashBook!$C$5:$C$20004,TxRows),"Expense",CashBook!$A$5:INDEX(CashBook!$A$5:$A$20004,TxRows),"&gt;="&amp;$A11,CashBook!$A$5:INDEX(CashBook!$A$5:$A$20004,TxRows),"&lt;"&amp;EDATE($A11,1))</f>
        <v/>
      </c>
      <c r="G11" s="102">
        <f>SUMIFS(CashBook!$G$5:INDEX(CashBook!$G$5:$G$20004,TxRows),CashBook!$C$5:INDEX(CashBook!$C$5:$C$20004,TxRows),"Other Income",CashBook!$A$5:INDEX(CashBook!$A$5:$A$20004,TxRows),"&gt;="&amp;$A11,CashBook!$A$5:INDEX(CashBook!$A$5:$A$20004,TxRows),"&lt;"&amp;EDATE($A11,1))</f>
        <v/>
      </c>
      <c r="H11" s="102">
        <f>SUMIFS(Adjustments!$G$5:$G$2004,Adjustments!$A$5:$A$2004,"&gt;="&amp;$A11,Adjustments!$A$5:$A$2004,"&lt;"&amp;EDATE($A11,1))</f>
        <v/>
      </c>
      <c r="I11" s="102">
        <f>D11-F11+G11+H11</f>
        <v/>
      </c>
      <c r="J11" s="102">
        <f>SUMIFS(Purchases!$K$5:INDEX(Purchases!$K$5:$K$20004,TxRows),Purchases!$A$5:INDEX(Purchases!$A$5:$A$20004,TxRows),"&gt;="&amp;$A11,Purchases!$A$5:INDEX(Purchases!$A$5:$A$20004,TxRows),"&lt;"&amp;EDATE($A11,1))</f>
        <v/>
      </c>
      <c r="K11" s="102">
        <f>SUMIFS(Sales!$N$5:INDEX(Sales!$N$5:$N$20004,TxRows),Sales!$A$5:INDEX(Sales!$A$5:$A$20004,TxRows),"&gt;="&amp;$A11,Sales!$A$5:INDEX(Sales!$A$5:$A$20004,TxRows),"&lt;"&amp;EDATE($A11,1))+SUMIFS(Sales!$O$5:INDEX(Sales!$O$5:$O$20004,TxRows),Sales!$A$5:INDEX(Sales!$A$5:$A$20004,TxRows),"&gt;="&amp;$A11,Sales!$A$5:INDEX(Sales!$A$5:$A$20004,TxRows),"&lt;"&amp;EDATE($A11,1))+SUMIFS(Sales!$P$5:INDEX(Sales!$P$5:$P$20004,TxRows),Sales!$A$5:INDEX(Sales!$A$5:$A$20004,TxRows),"&gt;="&amp;$A11,Sales!$A$5:INDEX(Sales!$A$5:$A$20004,TxRows),"&lt;"&amp;EDATE($A11,1))</f>
        <v/>
      </c>
      <c r="L11" s="102">
        <f>SUMIFS(Purchases!$M$5:INDEX(Purchases!$M$5:$M$20004,TxRows),Purchases!$A$5:INDEX(Purchases!$A$5:$A$20004,TxRows),"&gt;="&amp;$A11,Purchases!$A$5:INDEX(Purchases!$A$5:$A$20004,TxRows),"&lt;"&amp;EDATE($A11,1))+SUMIFS(Purchases!$N$5:INDEX(Purchases!$N$5:$N$20004,TxRows),Purchases!$A$5:INDEX(Purchases!$A$5:$A$20004,TxRows),"&gt;="&amp;$A11,Purchases!$A$5:INDEX(Purchases!$A$5:$A$20004,TxRows),"&lt;"&amp;EDATE($A11,1))+SUMIFS(Purchases!$O$5:INDEX(Purchases!$O$5:$O$20004,TxRows),Purchases!$A$5:INDEX(Purchases!$A$5:$A$20004,TxRows),"&gt;="&amp;$A11,Purchases!$A$5:INDEX(Purchases!$A$5:$A$20004,TxRows),"&lt;"&amp;EDATE($A11,1))</f>
        <v/>
      </c>
      <c r="M11" s="102">
        <f>K11-L11</f>
        <v/>
      </c>
    </row>
    <row r="12">
      <c r="A12" s="101">
        <f>EDATE(FYStart,7)</f>
        <v/>
      </c>
      <c r="B12" s="102">
        <f>SUMIFS(Sales!$L$5:INDEX(Sales!$L$5:$L$20004,TxRows),Sales!$A$5:INDEX(Sales!$A$5:$A$20004,TxRows),"&gt;="&amp;$A12,Sales!$A$5:INDEX(Sales!$A$5:$A$20004,TxRows),"&lt;"&amp;EDATE($A12,1))</f>
        <v/>
      </c>
      <c r="C12" s="102">
        <f>SUMIFS(Sales!$R$5:INDEX(Sales!$R$5:$R$20004,TxRows),Sales!$A$5:INDEX(Sales!$A$5:$A$20004,TxRows),"&gt;="&amp;$A12,Sales!$A$5:INDEX(Sales!$A$5:$A$20004,TxRows),"&lt;"&amp;EDATE($A12,1))</f>
        <v/>
      </c>
      <c r="D12" s="102">
        <f>B12-C12</f>
        <v/>
      </c>
      <c r="E12" s="96">
        <f>IF(B12=0,0,D12/B12)</f>
        <v/>
      </c>
      <c r="F12" s="102">
        <f>SUMIFS(CashBook!$G$5:INDEX(CashBook!$G$5:$G$20004,TxRows),CashBook!$C$5:INDEX(CashBook!$C$5:$C$20004,TxRows),"Expense",CashBook!$A$5:INDEX(CashBook!$A$5:$A$20004,TxRows),"&gt;="&amp;$A12,CashBook!$A$5:INDEX(CashBook!$A$5:$A$20004,TxRows),"&lt;"&amp;EDATE($A12,1))</f>
        <v/>
      </c>
      <c r="G12" s="102">
        <f>SUMIFS(CashBook!$G$5:INDEX(CashBook!$G$5:$G$20004,TxRows),CashBook!$C$5:INDEX(CashBook!$C$5:$C$20004,TxRows),"Other Income",CashBook!$A$5:INDEX(CashBook!$A$5:$A$20004,TxRows),"&gt;="&amp;$A12,CashBook!$A$5:INDEX(CashBook!$A$5:$A$20004,TxRows),"&lt;"&amp;EDATE($A12,1))</f>
        <v/>
      </c>
      <c r="H12" s="102">
        <f>SUMIFS(Adjustments!$G$5:$G$2004,Adjustments!$A$5:$A$2004,"&gt;="&amp;$A12,Adjustments!$A$5:$A$2004,"&lt;"&amp;EDATE($A12,1))</f>
        <v/>
      </c>
      <c r="I12" s="102">
        <f>D12-F12+G12+H12</f>
        <v/>
      </c>
      <c r="J12" s="102">
        <f>SUMIFS(Purchases!$K$5:INDEX(Purchases!$K$5:$K$20004,TxRows),Purchases!$A$5:INDEX(Purchases!$A$5:$A$20004,TxRows),"&gt;="&amp;$A12,Purchases!$A$5:INDEX(Purchases!$A$5:$A$20004,TxRows),"&lt;"&amp;EDATE($A12,1))</f>
        <v/>
      </c>
      <c r="K12" s="102">
        <f>SUMIFS(Sales!$N$5:INDEX(Sales!$N$5:$N$20004,TxRows),Sales!$A$5:INDEX(Sales!$A$5:$A$20004,TxRows),"&gt;="&amp;$A12,Sales!$A$5:INDEX(Sales!$A$5:$A$20004,TxRows),"&lt;"&amp;EDATE($A12,1))+SUMIFS(Sales!$O$5:INDEX(Sales!$O$5:$O$20004,TxRows),Sales!$A$5:INDEX(Sales!$A$5:$A$20004,TxRows),"&gt;="&amp;$A12,Sales!$A$5:INDEX(Sales!$A$5:$A$20004,TxRows),"&lt;"&amp;EDATE($A12,1))+SUMIFS(Sales!$P$5:INDEX(Sales!$P$5:$P$20004,TxRows),Sales!$A$5:INDEX(Sales!$A$5:$A$20004,TxRows),"&gt;="&amp;$A12,Sales!$A$5:INDEX(Sales!$A$5:$A$20004,TxRows),"&lt;"&amp;EDATE($A12,1))</f>
        <v/>
      </c>
      <c r="L12" s="102">
        <f>SUMIFS(Purchases!$M$5:INDEX(Purchases!$M$5:$M$20004,TxRows),Purchases!$A$5:INDEX(Purchases!$A$5:$A$20004,TxRows),"&gt;="&amp;$A12,Purchases!$A$5:INDEX(Purchases!$A$5:$A$20004,TxRows),"&lt;"&amp;EDATE($A12,1))+SUMIFS(Purchases!$N$5:INDEX(Purchases!$N$5:$N$20004,TxRows),Purchases!$A$5:INDEX(Purchases!$A$5:$A$20004,TxRows),"&gt;="&amp;$A12,Purchases!$A$5:INDEX(Purchases!$A$5:$A$20004,TxRows),"&lt;"&amp;EDATE($A12,1))+SUMIFS(Purchases!$O$5:INDEX(Purchases!$O$5:$O$20004,TxRows),Purchases!$A$5:INDEX(Purchases!$A$5:$A$20004,TxRows),"&gt;="&amp;$A12,Purchases!$A$5:INDEX(Purchases!$A$5:$A$20004,TxRows),"&lt;"&amp;EDATE($A12,1))</f>
        <v/>
      </c>
      <c r="M12" s="102">
        <f>K12-L12</f>
        <v/>
      </c>
    </row>
    <row r="13">
      <c r="A13" s="101">
        <f>EDATE(FYStart,8)</f>
        <v/>
      </c>
      <c r="B13" s="102">
        <f>SUMIFS(Sales!$L$5:INDEX(Sales!$L$5:$L$20004,TxRows),Sales!$A$5:INDEX(Sales!$A$5:$A$20004,TxRows),"&gt;="&amp;$A13,Sales!$A$5:INDEX(Sales!$A$5:$A$20004,TxRows),"&lt;"&amp;EDATE($A13,1))</f>
        <v/>
      </c>
      <c r="C13" s="102">
        <f>SUMIFS(Sales!$R$5:INDEX(Sales!$R$5:$R$20004,TxRows),Sales!$A$5:INDEX(Sales!$A$5:$A$20004,TxRows),"&gt;="&amp;$A13,Sales!$A$5:INDEX(Sales!$A$5:$A$20004,TxRows),"&lt;"&amp;EDATE($A13,1))</f>
        <v/>
      </c>
      <c r="D13" s="102">
        <f>B13-C13</f>
        <v/>
      </c>
      <c r="E13" s="96">
        <f>IF(B13=0,0,D13/B13)</f>
        <v/>
      </c>
      <c r="F13" s="102">
        <f>SUMIFS(CashBook!$G$5:INDEX(CashBook!$G$5:$G$20004,TxRows),CashBook!$C$5:INDEX(CashBook!$C$5:$C$20004,TxRows),"Expense",CashBook!$A$5:INDEX(CashBook!$A$5:$A$20004,TxRows),"&gt;="&amp;$A13,CashBook!$A$5:INDEX(CashBook!$A$5:$A$20004,TxRows),"&lt;"&amp;EDATE($A13,1))</f>
        <v/>
      </c>
      <c r="G13" s="102">
        <f>SUMIFS(CashBook!$G$5:INDEX(CashBook!$G$5:$G$20004,TxRows),CashBook!$C$5:INDEX(CashBook!$C$5:$C$20004,TxRows),"Other Income",CashBook!$A$5:INDEX(CashBook!$A$5:$A$20004,TxRows),"&gt;="&amp;$A13,CashBook!$A$5:INDEX(CashBook!$A$5:$A$20004,TxRows),"&lt;"&amp;EDATE($A13,1))</f>
        <v/>
      </c>
      <c r="H13" s="102">
        <f>SUMIFS(Adjustments!$G$5:$G$2004,Adjustments!$A$5:$A$2004,"&gt;="&amp;$A13,Adjustments!$A$5:$A$2004,"&lt;"&amp;EDATE($A13,1))</f>
        <v/>
      </c>
      <c r="I13" s="102">
        <f>D13-F13+G13+H13</f>
        <v/>
      </c>
      <c r="J13" s="102">
        <f>SUMIFS(Purchases!$K$5:INDEX(Purchases!$K$5:$K$20004,TxRows),Purchases!$A$5:INDEX(Purchases!$A$5:$A$20004,TxRows),"&gt;="&amp;$A13,Purchases!$A$5:INDEX(Purchases!$A$5:$A$20004,TxRows),"&lt;"&amp;EDATE($A13,1))</f>
        <v/>
      </c>
      <c r="K13" s="102">
        <f>SUMIFS(Sales!$N$5:INDEX(Sales!$N$5:$N$20004,TxRows),Sales!$A$5:INDEX(Sales!$A$5:$A$20004,TxRows),"&gt;="&amp;$A13,Sales!$A$5:INDEX(Sales!$A$5:$A$20004,TxRows),"&lt;"&amp;EDATE($A13,1))+SUMIFS(Sales!$O$5:INDEX(Sales!$O$5:$O$20004,TxRows),Sales!$A$5:INDEX(Sales!$A$5:$A$20004,TxRows),"&gt;="&amp;$A13,Sales!$A$5:INDEX(Sales!$A$5:$A$20004,TxRows),"&lt;"&amp;EDATE($A13,1))+SUMIFS(Sales!$P$5:INDEX(Sales!$P$5:$P$20004,TxRows),Sales!$A$5:INDEX(Sales!$A$5:$A$20004,TxRows),"&gt;="&amp;$A13,Sales!$A$5:INDEX(Sales!$A$5:$A$20004,TxRows),"&lt;"&amp;EDATE($A13,1))</f>
        <v/>
      </c>
      <c r="L13" s="102">
        <f>SUMIFS(Purchases!$M$5:INDEX(Purchases!$M$5:$M$20004,TxRows),Purchases!$A$5:INDEX(Purchases!$A$5:$A$20004,TxRows),"&gt;="&amp;$A13,Purchases!$A$5:INDEX(Purchases!$A$5:$A$20004,TxRows),"&lt;"&amp;EDATE($A13,1))+SUMIFS(Purchases!$N$5:INDEX(Purchases!$N$5:$N$20004,TxRows),Purchases!$A$5:INDEX(Purchases!$A$5:$A$20004,TxRows),"&gt;="&amp;$A13,Purchases!$A$5:INDEX(Purchases!$A$5:$A$20004,TxRows),"&lt;"&amp;EDATE($A13,1))+SUMIFS(Purchases!$O$5:INDEX(Purchases!$O$5:$O$20004,TxRows),Purchases!$A$5:INDEX(Purchases!$A$5:$A$20004,TxRows),"&gt;="&amp;$A13,Purchases!$A$5:INDEX(Purchases!$A$5:$A$20004,TxRows),"&lt;"&amp;EDATE($A13,1))</f>
        <v/>
      </c>
      <c r="M13" s="102">
        <f>K13-L13</f>
        <v/>
      </c>
    </row>
    <row r="14">
      <c r="A14" s="101">
        <f>EDATE(FYStart,9)</f>
        <v/>
      </c>
      <c r="B14" s="102">
        <f>SUMIFS(Sales!$L$5:INDEX(Sales!$L$5:$L$20004,TxRows),Sales!$A$5:INDEX(Sales!$A$5:$A$20004,TxRows),"&gt;="&amp;$A14,Sales!$A$5:INDEX(Sales!$A$5:$A$20004,TxRows),"&lt;"&amp;EDATE($A14,1))</f>
        <v/>
      </c>
      <c r="C14" s="102">
        <f>SUMIFS(Sales!$R$5:INDEX(Sales!$R$5:$R$20004,TxRows),Sales!$A$5:INDEX(Sales!$A$5:$A$20004,TxRows),"&gt;="&amp;$A14,Sales!$A$5:INDEX(Sales!$A$5:$A$20004,TxRows),"&lt;"&amp;EDATE($A14,1))</f>
        <v/>
      </c>
      <c r="D14" s="102">
        <f>B14-C14</f>
        <v/>
      </c>
      <c r="E14" s="96">
        <f>IF(B14=0,0,D14/B14)</f>
        <v/>
      </c>
      <c r="F14" s="102">
        <f>SUMIFS(CashBook!$G$5:INDEX(CashBook!$G$5:$G$20004,TxRows),CashBook!$C$5:INDEX(CashBook!$C$5:$C$20004,TxRows),"Expense",CashBook!$A$5:INDEX(CashBook!$A$5:$A$20004,TxRows),"&gt;="&amp;$A14,CashBook!$A$5:INDEX(CashBook!$A$5:$A$20004,TxRows),"&lt;"&amp;EDATE($A14,1))</f>
        <v/>
      </c>
      <c r="G14" s="102">
        <f>SUMIFS(CashBook!$G$5:INDEX(CashBook!$G$5:$G$20004,TxRows),CashBook!$C$5:INDEX(CashBook!$C$5:$C$20004,TxRows),"Other Income",CashBook!$A$5:INDEX(CashBook!$A$5:$A$20004,TxRows),"&gt;="&amp;$A14,CashBook!$A$5:INDEX(CashBook!$A$5:$A$20004,TxRows),"&lt;"&amp;EDATE($A14,1))</f>
        <v/>
      </c>
      <c r="H14" s="102">
        <f>SUMIFS(Adjustments!$G$5:$G$2004,Adjustments!$A$5:$A$2004,"&gt;="&amp;$A14,Adjustments!$A$5:$A$2004,"&lt;"&amp;EDATE($A14,1))</f>
        <v/>
      </c>
      <c r="I14" s="102">
        <f>D14-F14+G14+H14</f>
        <v/>
      </c>
      <c r="J14" s="102">
        <f>SUMIFS(Purchases!$K$5:INDEX(Purchases!$K$5:$K$20004,TxRows),Purchases!$A$5:INDEX(Purchases!$A$5:$A$20004,TxRows),"&gt;="&amp;$A14,Purchases!$A$5:INDEX(Purchases!$A$5:$A$20004,TxRows),"&lt;"&amp;EDATE($A14,1))</f>
        <v/>
      </c>
      <c r="K14" s="102">
        <f>SUMIFS(Sales!$N$5:INDEX(Sales!$N$5:$N$20004,TxRows),Sales!$A$5:INDEX(Sales!$A$5:$A$20004,TxRows),"&gt;="&amp;$A14,Sales!$A$5:INDEX(Sales!$A$5:$A$20004,TxRows),"&lt;"&amp;EDATE($A14,1))+SUMIFS(Sales!$O$5:INDEX(Sales!$O$5:$O$20004,TxRows),Sales!$A$5:INDEX(Sales!$A$5:$A$20004,TxRows),"&gt;="&amp;$A14,Sales!$A$5:INDEX(Sales!$A$5:$A$20004,TxRows),"&lt;"&amp;EDATE($A14,1))+SUMIFS(Sales!$P$5:INDEX(Sales!$P$5:$P$20004,TxRows),Sales!$A$5:INDEX(Sales!$A$5:$A$20004,TxRows),"&gt;="&amp;$A14,Sales!$A$5:INDEX(Sales!$A$5:$A$20004,TxRows),"&lt;"&amp;EDATE($A14,1))</f>
        <v/>
      </c>
      <c r="L14" s="102">
        <f>SUMIFS(Purchases!$M$5:INDEX(Purchases!$M$5:$M$20004,TxRows),Purchases!$A$5:INDEX(Purchases!$A$5:$A$20004,TxRows),"&gt;="&amp;$A14,Purchases!$A$5:INDEX(Purchases!$A$5:$A$20004,TxRows),"&lt;"&amp;EDATE($A14,1))+SUMIFS(Purchases!$N$5:INDEX(Purchases!$N$5:$N$20004,TxRows),Purchases!$A$5:INDEX(Purchases!$A$5:$A$20004,TxRows),"&gt;="&amp;$A14,Purchases!$A$5:INDEX(Purchases!$A$5:$A$20004,TxRows),"&lt;"&amp;EDATE($A14,1))+SUMIFS(Purchases!$O$5:INDEX(Purchases!$O$5:$O$20004,TxRows),Purchases!$A$5:INDEX(Purchases!$A$5:$A$20004,TxRows),"&gt;="&amp;$A14,Purchases!$A$5:INDEX(Purchases!$A$5:$A$20004,TxRows),"&lt;"&amp;EDATE($A14,1))</f>
        <v/>
      </c>
      <c r="M14" s="102">
        <f>K14-L14</f>
        <v/>
      </c>
    </row>
    <row r="15">
      <c r="A15" s="101">
        <f>EDATE(FYStart,10)</f>
        <v/>
      </c>
      <c r="B15" s="102">
        <f>SUMIFS(Sales!$L$5:INDEX(Sales!$L$5:$L$20004,TxRows),Sales!$A$5:INDEX(Sales!$A$5:$A$20004,TxRows),"&gt;="&amp;$A15,Sales!$A$5:INDEX(Sales!$A$5:$A$20004,TxRows),"&lt;"&amp;EDATE($A15,1))</f>
        <v/>
      </c>
      <c r="C15" s="102">
        <f>SUMIFS(Sales!$R$5:INDEX(Sales!$R$5:$R$20004,TxRows),Sales!$A$5:INDEX(Sales!$A$5:$A$20004,TxRows),"&gt;="&amp;$A15,Sales!$A$5:INDEX(Sales!$A$5:$A$20004,TxRows),"&lt;"&amp;EDATE($A15,1))</f>
        <v/>
      </c>
      <c r="D15" s="102">
        <f>B15-C15</f>
        <v/>
      </c>
      <c r="E15" s="96">
        <f>IF(B15=0,0,D15/B15)</f>
        <v/>
      </c>
      <c r="F15" s="102">
        <f>SUMIFS(CashBook!$G$5:INDEX(CashBook!$G$5:$G$20004,TxRows),CashBook!$C$5:INDEX(CashBook!$C$5:$C$20004,TxRows),"Expense",CashBook!$A$5:INDEX(CashBook!$A$5:$A$20004,TxRows),"&gt;="&amp;$A15,CashBook!$A$5:INDEX(CashBook!$A$5:$A$20004,TxRows),"&lt;"&amp;EDATE($A15,1))</f>
        <v/>
      </c>
      <c r="G15" s="102">
        <f>SUMIFS(CashBook!$G$5:INDEX(CashBook!$G$5:$G$20004,TxRows),CashBook!$C$5:INDEX(CashBook!$C$5:$C$20004,TxRows),"Other Income",CashBook!$A$5:INDEX(CashBook!$A$5:$A$20004,TxRows),"&gt;="&amp;$A15,CashBook!$A$5:INDEX(CashBook!$A$5:$A$20004,TxRows),"&lt;"&amp;EDATE($A15,1))</f>
        <v/>
      </c>
      <c r="H15" s="102">
        <f>SUMIFS(Adjustments!$G$5:$G$2004,Adjustments!$A$5:$A$2004,"&gt;="&amp;$A15,Adjustments!$A$5:$A$2004,"&lt;"&amp;EDATE($A15,1))</f>
        <v/>
      </c>
      <c r="I15" s="102">
        <f>D15-F15+G15+H15</f>
        <v/>
      </c>
      <c r="J15" s="102">
        <f>SUMIFS(Purchases!$K$5:INDEX(Purchases!$K$5:$K$20004,TxRows),Purchases!$A$5:INDEX(Purchases!$A$5:$A$20004,TxRows),"&gt;="&amp;$A15,Purchases!$A$5:INDEX(Purchases!$A$5:$A$20004,TxRows),"&lt;"&amp;EDATE($A15,1))</f>
        <v/>
      </c>
      <c r="K15" s="102">
        <f>SUMIFS(Sales!$N$5:INDEX(Sales!$N$5:$N$20004,TxRows),Sales!$A$5:INDEX(Sales!$A$5:$A$20004,TxRows),"&gt;="&amp;$A15,Sales!$A$5:INDEX(Sales!$A$5:$A$20004,TxRows),"&lt;"&amp;EDATE($A15,1))+SUMIFS(Sales!$O$5:INDEX(Sales!$O$5:$O$20004,TxRows),Sales!$A$5:INDEX(Sales!$A$5:$A$20004,TxRows),"&gt;="&amp;$A15,Sales!$A$5:INDEX(Sales!$A$5:$A$20004,TxRows),"&lt;"&amp;EDATE($A15,1))+SUMIFS(Sales!$P$5:INDEX(Sales!$P$5:$P$20004,TxRows),Sales!$A$5:INDEX(Sales!$A$5:$A$20004,TxRows),"&gt;="&amp;$A15,Sales!$A$5:INDEX(Sales!$A$5:$A$20004,TxRows),"&lt;"&amp;EDATE($A15,1))</f>
        <v/>
      </c>
      <c r="L15" s="102">
        <f>SUMIFS(Purchases!$M$5:INDEX(Purchases!$M$5:$M$20004,TxRows),Purchases!$A$5:INDEX(Purchases!$A$5:$A$20004,TxRows),"&gt;="&amp;$A15,Purchases!$A$5:INDEX(Purchases!$A$5:$A$20004,TxRows),"&lt;"&amp;EDATE($A15,1))+SUMIFS(Purchases!$N$5:INDEX(Purchases!$N$5:$N$20004,TxRows),Purchases!$A$5:INDEX(Purchases!$A$5:$A$20004,TxRows),"&gt;="&amp;$A15,Purchases!$A$5:INDEX(Purchases!$A$5:$A$20004,TxRows),"&lt;"&amp;EDATE($A15,1))+SUMIFS(Purchases!$O$5:INDEX(Purchases!$O$5:$O$20004,TxRows),Purchases!$A$5:INDEX(Purchases!$A$5:$A$20004,TxRows),"&gt;="&amp;$A15,Purchases!$A$5:INDEX(Purchases!$A$5:$A$20004,TxRows),"&lt;"&amp;EDATE($A15,1))</f>
        <v/>
      </c>
      <c r="M15" s="102">
        <f>K15-L15</f>
        <v/>
      </c>
    </row>
    <row r="16">
      <c r="A16" s="101">
        <f>EDATE(FYStart,11)</f>
        <v/>
      </c>
      <c r="B16" s="102">
        <f>SUMIFS(Sales!$L$5:INDEX(Sales!$L$5:$L$20004,TxRows),Sales!$A$5:INDEX(Sales!$A$5:$A$20004,TxRows),"&gt;="&amp;$A16,Sales!$A$5:INDEX(Sales!$A$5:$A$20004,TxRows),"&lt;"&amp;EDATE($A16,1))</f>
        <v/>
      </c>
      <c r="C16" s="102">
        <f>SUMIFS(Sales!$R$5:INDEX(Sales!$R$5:$R$20004,TxRows),Sales!$A$5:INDEX(Sales!$A$5:$A$20004,TxRows),"&gt;="&amp;$A16,Sales!$A$5:INDEX(Sales!$A$5:$A$20004,TxRows),"&lt;"&amp;EDATE($A16,1))</f>
        <v/>
      </c>
      <c r="D16" s="102">
        <f>B16-C16</f>
        <v/>
      </c>
      <c r="E16" s="96">
        <f>IF(B16=0,0,D16/B16)</f>
        <v/>
      </c>
      <c r="F16" s="102">
        <f>SUMIFS(CashBook!$G$5:INDEX(CashBook!$G$5:$G$20004,TxRows),CashBook!$C$5:INDEX(CashBook!$C$5:$C$20004,TxRows),"Expense",CashBook!$A$5:INDEX(CashBook!$A$5:$A$20004,TxRows),"&gt;="&amp;$A16,CashBook!$A$5:INDEX(CashBook!$A$5:$A$20004,TxRows),"&lt;"&amp;EDATE($A16,1))</f>
        <v/>
      </c>
      <c r="G16" s="102">
        <f>SUMIFS(CashBook!$G$5:INDEX(CashBook!$G$5:$G$20004,TxRows),CashBook!$C$5:INDEX(CashBook!$C$5:$C$20004,TxRows),"Other Income",CashBook!$A$5:INDEX(CashBook!$A$5:$A$20004,TxRows),"&gt;="&amp;$A16,CashBook!$A$5:INDEX(CashBook!$A$5:$A$20004,TxRows),"&lt;"&amp;EDATE($A16,1))</f>
        <v/>
      </c>
      <c r="H16" s="102">
        <f>SUMIFS(Adjustments!$G$5:$G$2004,Adjustments!$A$5:$A$2004,"&gt;="&amp;$A16,Adjustments!$A$5:$A$2004,"&lt;"&amp;EDATE($A16,1))</f>
        <v/>
      </c>
      <c r="I16" s="102">
        <f>D16-F16+G16+H16</f>
        <v/>
      </c>
      <c r="J16" s="102">
        <f>SUMIFS(Purchases!$K$5:INDEX(Purchases!$K$5:$K$20004,TxRows),Purchases!$A$5:INDEX(Purchases!$A$5:$A$20004,TxRows),"&gt;="&amp;$A16,Purchases!$A$5:INDEX(Purchases!$A$5:$A$20004,TxRows),"&lt;"&amp;EDATE($A16,1))</f>
        <v/>
      </c>
      <c r="K16" s="102">
        <f>SUMIFS(Sales!$N$5:INDEX(Sales!$N$5:$N$20004,TxRows),Sales!$A$5:INDEX(Sales!$A$5:$A$20004,TxRows),"&gt;="&amp;$A16,Sales!$A$5:INDEX(Sales!$A$5:$A$20004,TxRows),"&lt;"&amp;EDATE($A16,1))+SUMIFS(Sales!$O$5:INDEX(Sales!$O$5:$O$20004,TxRows),Sales!$A$5:INDEX(Sales!$A$5:$A$20004,TxRows),"&gt;="&amp;$A16,Sales!$A$5:INDEX(Sales!$A$5:$A$20004,TxRows),"&lt;"&amp;EDATE($A16,1))+SUMIFS(Sales!$P$5:INDEX(Sales!$P$5:$P$20004,TxRows),Sales!$A$5:INDEX(Sales!$A$5:$A$20004,TxRows),"&gt;="&amp;$A16,Sales!$A$5:INDEX(Sales!$A$5:$A$20004,TxRows),"&lt;"&amp;EDATE($A16,1))</f>
        <v/>
      </c>
      <c r="L16" s="102">
        <f>SUMIFS(Purchases!$M$5:INDEX(Purchases!$M$5:$M$20004,TxRows),Purchases!$A$5:INDEX(Purchases!$A$5:$A$20004,TxRows),"&gt;="&amp;$A16,Purchases!$A$5:INDEX(Purchases!$A$5:$A$20004,TxRows),"&lt;"&amp;EDATE($A16,1))+SUMIFS(Purchases!$N$5:INDEX(Purchases!$N$5:$N$20004,TxRows),Purchases!$A$5:INDEX(Purchases!$A$5:$A$20004,TxRows),"&gt;="&amp;$A16,Purchases!$A$5:INDEX(Purchases!$A$5:$A$20004,TxRows),"&lt;"&amp;EDATE($A16,1))+SUMIFS(Purchases!$O$5:INDEX(Purchases!$O$5:$O$20004,TxRows),Purchases!$A$5:INDEX(Purchases!$A$5:$A$20004,TxRows),"&gt;="&amp;$A16,Purchases!$A$5:INDEX(Purchases!$A$5:$A$20004,TxRows),"&lt;"&amp;EDATE($A16,1))</f>
        <v/>
      </c>
      <c r="M16" s="102">
        <f>K16-L16</f>
        <v/>
      </c>
    </row>
    <row r="17">
      <c r="A17" s="103" t="inlineStr">
        <is>
          <t>FY TOTAL</t>
        </is>
      </c>
      <c r="B17" s="104">
        <f>SUM(B5:B16)</f>
        <v/>
      </c>
      <c r="C17" s="104">
        <f>SUM(C5:C16)</f>
        <v/>
      </c>
      <c r="D17" s="104">
        <f>SUM(D5:D16)</f>
        <v/>
      </c>
      <c r="E17" s="105">
        <f>IF(B17=0,0,D17/B17)</f>
        <v/>
      </c>
      <c r="F17" s="104">
        <f>SUM(F5:F16)</f>
        <v/>
      </c>
      <c r="G17" s="104">
        <f>SUM(G5:G16)</f>
        <v/>
      </c>
      <c r="H17" s="104">
        <f>SUM(H5:H16)</f>
        <v/>
      </c>
      <c r="I17" s="104">
        <f>SUM(I5:I16)</f>
        <v/>
      </c>
      <c r="J17" s="104">
        <f>SUM(J5:J16)</f>
        <v/>
      </c>
      <c r="K17" s="104">
        <f>SUM(K5:K16)</f>
        <v/>
      </c>
      <c r="L17" s="104">
        <f>SUM(L5:L16)</f>
        <v/>
      </c>
      <c r="M17" s="104">
        <f>SUM(M5:M16)</f>
        <v/>
      </c>
    </row>
    <row r="18">
      <c r="A18" s="7" t="inlineStr">
        <is>
          <t>Net Profit = Gross Profit − Expenses + Other Income + Stock Adjustment value (losses are negative). Purchases are capitalised into stock; only COGS hits profit.</t>
        </is>
      </c>
    </row>
    <row r="21">
      <c r="A21" s="55" t="inlineStr">
        <is>
          <t>GST RATE-WISE SUMMARY (FY)  — ready for GSTR-1 / GSTR-3B</t>
        </is>
      </c>
      <c r="H21" s="55" t="inlineStr">
        <is>
          <t>EXPENSES BY HEAD (FY)</t>
        </is>
      </c>
    </row>
    <row r="22">
      <c r="A22" s="78" t="inlineStr">
        <is>
          <t>GST Rate</t>
        </is>
      </c>
      <c r="B22" s="78" t="inlineStr">
        <is>
          <t>Sales Taxable (₹)</t>
        </is>
      </c>
      <c r="C22" s="78" t="inlineStr">
        <is>
          <t>Output Tax (₹)</t>
        </is>
      </c>
      <c r="D22" s="78" t="inlineStr">
        <is>
          <t>Purch. Taxable (₹)</t>
        </is>
      </c>
      <c r="E22" s="78" t="inlineStr">
        <is>
          <t>Input Tax (₹)</t>
        </is>
      </c>
      <c r="F22" s="78" t="inlineStr">
        <is>
          <t>Net (₹)</t>
        </is>
      </c>
      <c r="H22" s="78" t="inlineStr">
        <is>
          <t>Head</t>
        </is>
      </c>
      <c r="I22" s="78" t="inlineStr">
        <is>
          <t>Amount (₹)</t>
        </is>
      </c>
      <c r="J22" s="78" t="inlineStr">
        <is>
          <t>Share</t>
        </is>
      </c>
    </row>
    <row r="23">
      <c r="A23" s="106">
        <f>IF(Settings!F5="","",Settings!F5)</f>
        <v/>
      </c>
      <c r="B23" s="107">
        <f>IF($A23="","",SUMIFS(Sales!$L$5:INDEX(Sales!$L$5:$L$20004,TxRows),Sales!$M$5:INDEX(Sales!$M$5:$M$20004,TxRows),$A23,Sales!$A$5:INDEX(Sales!$A$5:$A$20004,TxRows),"&gt;="&amp;FYStart,Sales!$A$5:INDEX(Sales!$A$5:$A$20004,TxRows),"&lt;"&amp;EDATE(FYStart,12)))</f>
        <v/>
      </c>
      <c r="C23" s="107">
        <f>IF($A23="","",SUMIFS(Sales!$N$5:INDEX(Sales!$N$5:$N$20004,TxRows),Sales!$M$5:INDEX(Sales!$M$5:$M$20004,TxRows),$A23,Sales!$A$5:INDEX(Sales!$A$5:$A$20004,TxRows),"&gt;="&amp;FYStart,Sales!$A$5:INDEX(Sales!$A$5:$A$20004,TxRows),"&lt;"&amp;EDATE(FYStart,12))+SUMIFS(Sales!$O$5:INDEX(Sales!$O$5:$O$20004,TxRows),Sales!$M$5:INDEX(Sales!$M$5:$M$20004,TxRows),$A23,Sales!$A$5:INDEX(Sales!$A$5:$A$20004,TxRows),"&gt;="&amp;FYStart,Sales!$A$5:INDEX(Sales!$A$5:$A$20004,TxRows),"&lt;"&amp;EDATE(FYStart,12))+SUMIFS(Sales!$P$5:INDEX(Sales!$P$5:$P$20004,TxRows),Sales!$M$5:INDEX(Sales!$M$5:$M$20004,TxRows),$A23,Sales!$A$5:INDEX(Sales!$A$5:$A$20004,TxRows),"&gt;="&amp;FYStart,Sales!$A$5:INDEX(Sales!$A$5:$A$20004,TxRows),"&lt;"&amp;EDATE(FYStart,12)))</f>
        <v/>
      </c>
      <c r="D23" s="107">
        <f>IF($A23="","",SUMIFS(Purchases!$K$5:INDEX(Purchases!$K$5:$K$20004,TxRows),Purchases!$L$5:INDEX(Purchases!$L$5:$L$20004,TxRows),$A23,Purchases!$A$5:INDEX(Purchases!$A$5:$A$20004,TxRows),"&gt;="&amp;FYStart,Purchases!$A$5:INDEX(Purchases!$A$5:$A$20004,TxRows),"&lt;"&amp;EDATE(FYStart,12)))</f>
        <v/>
      </c>
      <c r="E23" s="107">
        <f>IF($A23="","",SUMIFS(Purchases!$M$5:INDEX(Purchases!$M$5:$M$20004,TxRows),Purchases!$L$5:INDEX(Purchases!$L$5:$L$20004,TxRows),$A23,Purchases!$A$5:INDEX(Purchases!$A$5:$A$20004,TxRows),"&gt;="&amp;FYStart,Purchases!$A$5:INDEX(Purchases!$A$5:$A$20004,TxRows),"&lt;"&amp;EDATE(FYStart,12))+SUMIFS(Purchases!$N$5:INDEX(Purchases!$N$5:$N$20004,TxRows),Purchases!$L$5:INDEX(Purchases!$L$5:$L$20004,TxRows),$A23,Purchases!$A$5:INDEX(Purchases!$A$5:$A$20004,TxRows),"&gt;="&amp;FYStart,Purchases!$A$5:INDEX(Purchases!$A$5:$A$20004,TxRows),"&lt;"&amp;EDATE(FYStart,12))+SUMIFS(Purchases!$O$5:INDEX(Purchases!$O$5:$O$20004,TxRows),Purchases!$L$5:INDEX(Purchases!$L$5:$L$20004,TxRows),$A23,Purchases!$A$5:INDEX(Purchases!$A$5:$A$20004,TxRows),"&gt;="&amp;FYStart,Purchases!$A$5:INDEX(Purchases!$A$5:$A$20004,TxRows),"&lt;"&amp;EDATE(FYStart,12)))</f>
        <v/>
      </c>
      <c r="F23" s="107">
        <f>IF($A23="","",C23-E23)</f>
        <v/>
      </c>
      <c r="H23" s="108">
        <f>IF(Settings!I5="","",Settings!I5)</f>
        <v/>
      </c>
      <c r="I23" s="107">
        <f>IF(H23="","",SUMIFS(CashBook!$G$5:INDEX(CashBook!$G$5:$G$20004,TxRows),CashBook!$C$5:INDEX(CashBook!$C$5:$C$20004,TxRows),"Expense",CashBook!$E$5:INDEX(CashBook!$E$5:$E$20004,TxRows),H23,CashBook!$A$5:INDEX(CashBook!$A$5:$A$20004,TxRows),"&gt;="&amp;FYStart,CashBook!$A$5:INDEX(CashBook!$A$5:$A$20004,TxRows),"&lt;"&amp;EDATE(FYStart,12)))</f>
        <v/>
      </c>
      <c r="J23" s="109">
        <f>IF(H23="","",IF(SUM($I$23:$I$34)=0,0,I23/SUM($I$23:$I$34)))</f>
        <v/>
      </c>
    </row>
    <row r="24">
      <c r="A24" s="106">
        <f>IF(Settings!F6="","",Settings!F6)</f>
        <v/>
      </c>
      <c r="B24" s="107">
        <f>IF($A24="","",SUMIFS(Sales!$L$5:INDEX(Sales!$L$5:$L$20004,TxRows),Sales!$M$5:INDEX(Sales!$M$5:$M$20004,TxRows),$A24,Sales!$A$5:INDEX(Sales!$A$5:$A$20004,TxRows),"&gt;="&amp;FYStart,Sales!$A$5:INDEX(Sales!$A$5:$A$20004,TxRows),"&lt;"&amp;EDATE(FYStart,12)))</f>
        <v/>
      </c>
      <c r="C24" s="107">
        <f>IF($A24="","",SUMIFS(Sales!$N$5:INDEX(Sales!$N$5:$N$20004,TxRows),Sales!$M$5:INDEX(Sales!$M$5:$M$20004,TxRows),$A24,Sales!$A$5:INDEX(Sales!$A$5:$A$20004,TxRows),"&gt;="&amp;FYStart,Sales!$A$5:INDEX(Sales!$A$5:$A$20004,TxRows),"&lt;"&amp;EDATE(FYStart,12))+SUMIFS(Sales!$O$5:INDEX(Sales!$O$5:$O$20004,TxRows),Sales!$M$5:INDEX(Sales!$M$5:$M$20004,TxRows),$A24,Sales!$A$5:INDEX(Sales!$A$5:$A$20004,TxRows),"&gt;="&amp;FYStart,Sales!$A$5:INDEX(Sales!$A$5:$A$20004,TxRows),"&lt;"&amp;EDATE(FYStart,12))+SUMIFS(Sales!$P$5:INDEX(Sales!$P$5:$P$20004,TxRows),Sales!$M$5:INDEX(Sales!$M$5:$M$20004,TxRows),$A24,Sales!$A$5:INDEX(Sales!$A$5:$A$20004,TxRows),"&gt;="&amp;FYStart,Sales!$A$5:INDEX(Sales!$A$5:$A$20004,TxRows),"&lt;"&amp;EDATE(FYStart,12)))</f>
        <v/>
      </c>
      <c r="D24" s="107">
        <f>IF($A24="","",SUMIFS(Purchases!$K$5:INDEX(Purchases!$K$5:$K$20004,TxRows),Purchases!$L$5:INDEX(Purchases!$L$5:$L$20004,TxRows),$A24,Purchases!$A$5:INDEX(Purchases!$A$5:$A$20004,TxRows),"&gt;="&amp;FYStart,Purchases!$A$5:INDEX(Purchases!$A$5:$A$20004,TxRows),"&lt;"&amp;EDATE(FYStart,12)))</f>
        <v/>
      </c>
      <c r="E24" s="107">
        <f>IF($A24="","",SUMIFS(Purchases!$M$5:INDEX(Purchases!$M$5:$M$20004,TxRows),Purchases!$L$5:INDEX(Purchases!$L$5:$L$20004,TxRows),$A24,Purchases!$A$5:INDEX(Purchases!$A$5:$A$20004,TxRows),"&gt;="&amp;FYStart,Purchases!$A$5:INDEX(Purchases!$A$5:$A$20004,TxRows),"&lt;"&amp;EDATE(FYStart,12))+SUMIFS(Purchases!$N$5:INDEX(Purchases!$N$5:$N$20004,TxRows),Purchases!$L$5:INDEX(Purchases!$L$5:$L$20004,TxRows),$A24,Purchases!$A$5:INDEX(Purchases!$A$5:$A$20004,TxRows),"&gt;="&amp;FYStart,Purchases!$A$5:INDEX(Purchases!$A$5:$A$20004,TxRows),"&lt;"&amp;EDATE(FYStart,12))+SUMIFS(Purchases!$O$5:INDEX(Purchases!$O$5:$O$20004,TxRows),Purchases!$L$5:INDEX(Purchases!$L$5:$L$20004,TxRows),$A24,Purchases!$A$5:INDEX(Purchases!$A$5:$A$20004,TxRows),"&gt;="&amp;FYStart,Purchases!$A$5:INDEX(Purchases!$A$5:$A$20004,TxRows),"&lt;"&amp;EDATE(FYStart,12)))</f>
        <v/>
      </c>
      <c r="F24" s="107">
        <f>IF($A24="","",C24-E24)</f>
        <v/>
      </c>
      <c r="H24" s="108">
        <f>IF(Settings!I6="","",Settings!I6)</f>
        <v/>
      </c>
      <c r="I24" s="107">
        <f>IF(H24="","",SUMIFS(CashBook!$G$5:INDEX(CashBook!$G$5:$G$20004,TxRows),CashBook!$C$5:INDEX(CashBook!$C$5:$C$20004,TxRows),"Expense",CashBook!$E$5:INDEX(CashBook!$E$5:$E$20004,TxRows),H24,CashBook!$A$5:INDEX(CashBook!$A$5:$A$20004,TxRows),"&gt;="&amp;FYStart,CashBook!$A$5:INDEX(CashBook!$A$5:$A$20004,TxRows),"&lt;"&amp;EDATE(FYStart,12)))</f>
        <v/>
      </c>
      <c r="J24" s="109">
        <f>IF(H24="","",IF(SUM($I$23:$I$34)=0,0,I24/SUM($I$23:$I$34)))</f>
        <v/>
      </c>
    </row>
    <row r="25">
      <c r="A25" s="106">
        <f>IF(Settings!F7="","",Settings!F7)</f>
        <v/>
      </c>
      <c r="B25" s="107">
        <f>IF($A25="","",SUMIFS(Sales!$L$5:INDEX(Sales!$L$5:$L$20004,TxRows),Sales!$M$5:INDEX(Sales!$M$5:$M$20004,TxRows),$A25,Sales!$A$5:INDEX(Sales!$A$5:$A$20004,TxRows),"&gt;="&amp;FYStart,Sales!$A$5:INDEX(Sales!$A$5:$A$20004,TxRows),"&lt;"&amp;EDATE(FYStart,12)))</f>
        <v/>
      </c>
      <c r="C25" s="107">
        <f>IF($A25="","",SUMIFS(Sales!$N$5:INDEX(Sales!$N$5:$N$20004,TxRows),Sales!$M$5:INDEX(Sales!$M$5:$M$20004,TxRows),$A25,Sales!$A$5:INDEX(Sales!$A$5:$A$20004,TxRows),"&gt;="&amp;FYStart,Sales!$A$5:INDEX(Sales!$A$5:$A$20004,TxRows),"&lt;"&amp;EDATE(FYStart,12))+SUMIFS(Sales!$O$5:INDEX(Sales!$O$5:$O$20004,TxRows),Sales!$M$5:INDEX(Sales!$M$5:$M$20004,TxRows),$A25,Sales!$A$5:INDEX(Sales!$A$5:$A$20004,TxRows),"&gt;="&amp;FYStart,Sales!$A$5:INDEX(Sales!$A$5:$A$20004,TxRows),"&lt;"&amp;EDATE(FYStart,12))+SUMIFS(Sales!$P$5:INDEX(Sales!$P$5:$P$20004,TxRows),Sales!$M$5:INDEX(Sales!$M$5:$M$20004,TxRows),$A25,Sales!$A$5:INDEX(Sales!$A$5:$A$20004,TxRows),"&gt;="&amp;FYStart,Sales!$A$5:INDEX(Sales!$A$5:$A$20004,TxRows),"&lt;"&amp;EDATE(FYStart,12)))</f>
        <v/>
      </c>
      <c r="D25" s="107">
        <f>IF($A25="","",SUMIFS(Purchases!$K$5:INDEX(Purchases!$K$5:$K$20004,TxRows),Purchases!$L$5:INDEX(Purchases!$L$5:$L$20004,TxRows),$A25,Purchases!$A$5:INDEX(Purchases!$A$5:$A$20004,TxRows),"&gt;="&amp;FYStart,Purchases!$A$5:INDEX(Purchases!$A$5:$A$20004,TxRows),"&lt;"&amp;EDATE(FYStart,12)))</f>
        <v/>
      </c>
      <c r="E25" s="107">
        <f>IF($A25="","",SUMIFS(Purchases!$M$5:INDEX(Purchases!$M$5:$M$20004,TxRows),Purchases!$L$5:INDEX(Purchases!$L$5:$L$20004,TxRows),$A25,Purchases!$A$5:INDEX(Purchases!$A$5:$A$20004,TxRows),"&gt;="&amp;FYStart,Purchases!$A$5:INDEX(Purchases!$A$5:$A$20004,TxRows),"&lt;"&amp;EDATE(FYStart,12))+SUMIFS(Purchases!$N$5:INDEX(Purchases!$N$5:$N$20004,TxRows),Purchases!$L$5:INDEX(Purchases!$L$5:$L$20004,TxRows),$A25,Purchases!$A$5:INDEX(Purchases!$A$5:$A$20004,TxRows),"&gt;="&amp;FYStart,Purchases!$A$5:INDEX(Purchases!$A$5:$A$20004,TxRows),"&lt;"&amp;EDATE(FYStart,12))+SUMIFS(Purchases!$O$5:INDEX(Purchases!$O$5:$O$20004,TxRows),Purchases!$L$5:INDEX(Purchases!$L$5:$L$20004,TxRows),$A25,Purchases!$A$5:INDEX(Purchases!$A$5:$A$20004,TxRows),"&gt;="&amp;FYStart,Purchases!$A$5:INDEX(Purchases!$A$5:$A$20004,TxRows),"&lt;"&amp;EDATE(FYStart,12)))</f>
        <v/>
      </c>
      <c r="F25" s="107">
        <f>IF($A25="","",C25-E25)</f>
        <v/>
      </c>
      <c r="H25" s="108">
        <f>IF(Settings!I7="","",Settings!I7)</f>
        <v/>
      </c>
      <c r="I25" s="107">
        <f>IF(H25="","",SUMIFS(CashBook!$G$5:INDEX(CashBook!$G$5:$G$20004,TxRows),CashBook!$C$5:INDEX(CashBook!$C$5:$C$20004,TxRows),"Expense",CashBook!$E$5:INDEX(CashBook!$E$5:$E$20004,TxRows),H25,CashBook!$A$5:INDEX(CashBook!$A$5:$A$20004,TxRows),"&gt;="&amp;FYStart,CashBook!$A$5:INDEX(CashBook!$A$5:$A$20004,TxRows),"&lt;"&amp;EDATE(FYStart,12)))</f>
        <v/>
      </c>
      <c r="J25" s="109">
        <f>IF(H25="","",IF(SUM($I$23:$I$34)=0,0,I25/SUM($I$23:$I$34)))</f>
        <v/>
      </c>
    </row>
    <row r="26">
      <c r="A26" s="106">
        <f>IF(Settings!F8="","",Settings!F8)</f>
        <v/>
      </c>
      <c r="B26" s="107">
        <f>IF($A26="","",SUMIFS(Sales!$L$5:INDEX(Sales!$L$5:$L$20004,TxRows),Sales!$M$5:INDEX(Sales!$M$5:$M$20004,TxRows),$A26,Sales!$A$5:INDEX(Sales!$A$5:$A$20004,TxRows),"&gt;="&amp;FYStart,Sales!$A$5:INDEX(Sales!$A$5:$A$20004,TxRows),"&lt;"&amp;EDATE(FYStart,12)))</f>
        <v/>
      </c>
      <c r="C26" s="107">
        <f>IF($A26="","",SUMIFS(Sales!$N$5:INDEX(Sales!$N$5:$N$20004,TxRows),Sales!$M$5:INDEX(Sales!$M$5:$M$20004,TxRows),$A26,Sales!$A$5:INDEX(Sales!$A$5:$A$20004,TxRows),"&gt;="&amp;FYStart,Sales!$A$5:INDEX(Sales!$A$5:$A$20004,TxRows),"&lt;"&amp;EDATE(FYStart,12))+SUMIFS(Sales!$O$5:INDEX(Sales!$O$5:$O$20004,TxRows),Sales!$M$5:INDEX(Sales!$M$5:$M$20004,TxRows),$A26,Sales!$A$5:INDEX(Sales!$A$5:$A$20004,TxRows),"&gt;="&amp;FYStart,Sales!$A$5:INDEX(Sales!$A$5:$A$20004,TxRows),"&lt;"&amp;EDATE(FYStart,12))+SUMIFS(Sales!$P$5:INDEX(Sales!$P$5:$P$20004,TxRows),Sales!$M$5:INDEX(Sales!$M$5:$M$20004,TxRows),$A26,Sales!$A$5:INDEX(Sales!$A$5:$A$20004,TxRows),"&gt;="&amp;FYStart,Sales!$A$5:INDEX(Sales!$A$5:$A$20004,TxRows),"&lt;"&amp;EDATE(FYStart,12)))</f>
        <v/>
      </c>
      <c r="D26" s="107">
        <f>IF($A26="","",SUMIFS(Purchases!$K$5:INDEX(Purchases!$K$5:$K$20004,TxRows),Purchases!$L$5:INDEX(Purchases!$L$5:$L$20004,TxRows),$A26,Purchases!$A$5:INDEX(Purchases!$A$5:$A$20004,TxRows),"&gt;="&amp;FYStart,Purchases!$A$5:INDEX(Purchases!$A$5:$A$20004,TxRows),"&lt;"&amp;EDATE(FYStart,12)))</f>
        <v/>
      </c>
      <c r="E26" s="107">
        <f>IF($A26="","",SUMIFS(Purchases!$M$5:INDEX(Purchases!$M$5:$M$20004,TxRows),Purchases!$L$5:INDEX(Purchases!$L$5:$L$20004,TxRows),$A26,Purchases!$A$5:INDEX(Purchases!$A$5:$A$20004,TxRows),"&gt;="&amp;FYStart,Purchases!$A$5:INDEX(Purchases!$A$5:$A$20004,TxRows),"&lt;"&amp;EDATE(FYStart,12))+SUMIFS(Purchases!$N$5:INDEX(Purchases!$N$5:$N$20004,TxRows),Purchases!$L$5:INDEX(Purchases!$L$5:$L$20004,TxRows),$A26,Purchases!$A$5:INDEX(Purchases!$A$5:$A$20004,TxRows),"&gt;="&amp;FYStart,Purchases!$A$5:INDEX(Purchases!$A$5:$A$20004,TxRows),"&lt;"&amp;EDATE(FYStart,12))+SUMIFS(Purchases!$O$5:INDEX(Purchases!$O$5:$O$20004,TxRows),Purchases!$L$5:INDEX(Purchases!$L$5:$L$20004,TxRows),$A26,Purchases!$A$5:INDEX(Purchases!$A$5:$A$20004,TxRows),"&gt;="&amp;FYStart,Purchases!$A$5:INDEX(Purchases!$A$5:$A$20004,TxRows),"&lt;"&amp;EDATE(FYStart,12)))</f>
        <v/>
      </c>
      <c r="F26" s="107">
        <f>IF($A26="","",C26-E26)</f>
        <v/>
      </c>
      <c r="H26" s="108">
        <f>IF(Settings!I8="","",Settings!I8)</f>
        <v/>
      </c>
      <c r="I26" s="107">
        <f>IF(H26="","",SUMIFS(CashBook!$G$5:INDEX(CashBook!$G$5:$G$20004,TxRows),CashBook!$C$5:INDEX(CashBook!$C$5:$C$20004,TxRows),"Expense",CashBook!$E$5:INDEX(CashBook!$E$5:$E$20004,TxRows),H26,CashBook!$A$5:INDEX(CashBook!$A$5:$A$20004,TxRows),"&gt;="&amp;FYStart,CashBook!$A$5:INDEX(CashBook!$A$5:$A$20004,TxRows),"&lt;"&amp;EDATE(FYStart,12)))</f>
        <v/>
      </c>
      <c r="J26" s="109">
        <f>IF(H26="","",IF(SUM($I$23:$I$34)=0,0,I26/SUM($I$23:$I$34)))</f>
        <v/>
      </c>
    </row>
    <row r="27">
      <c r="A27" s="106">
        <f>IF(Settings!F9="","",Settings!F9)</f>
        <v/>
      </c>
      <c r="B27" s="107">
        <f>IF($A27="","",SUMIFS(Sales!$L$5:INDEX(Sales!$L$5:$L$20004,TxRows),Sales!$M$5:INDEX(Sales!$M$5:$M$20004,TxRows),$A27,Sales!$A$5:INDEX(Sales!$A$5:$A$20004,TxRows),"&gt;="&amp;FYStart,Sales!$A$5:INDEX(Sales!$A$5:$A$20004,TxRows),"&lt;"&amp;EDATE(FYStart,12)))</f>
        <v/>
      </c>
      <c r="C27" s="107">
        <f>IF($A27="","",SUMIFS(Sales!$N$5:INDEX(Sales!$N$5:$N$20004,TxRows),Sales!$M$5:INDEX(Sales!$M$5:$M$20004,TxRows),$A27,Sales!$A$5:INDEX(Sales!$A$5:$A$20004,TxRows),"&gt;="&amp;FYStart,Sales!$A$5:INDEX(Sales!$A$5:$A$20004,TxRows),"&lt;"&amp;EDATE(FYStart,12))+SUMIFS(Sales!$O$5:INDEX(Sales!$O$5:$O$20004,TxRows),Sales!$M$5:INDEX(Sales!$M$5:$M$20004,TxRows),$A27,Sales!$A$5:INDEX(Sales!$A$5:$A$20004,TxRows),"&gt;="&amp;FYStart,Sales!$A$5:INDEX(Sales!$A$5:$A$20004,TxRows),"&lt;"&amp;EDATE(FYStart,12))+SUMIFS(Sales!$P$5:INDEX(Sales!$P$5:$P$20004,TxRows),Sales!$M$5:INDEX(Sales!$M$5:$M$20004,TxRows),$A27,Sales!$A$5:INDEX(Sales!$A$5:$A$20004,TxRows),"&gt;="&amp;FYStart,Sales!$A$5:INDEX(Sales!$A$5:$A$20004,TxRows),"&lt;"&amp;EDATE(FYStart,12)))</f>
        <v/>
      </c>
      <c r="D27" s="107">
        <f>IF($A27="","",SUMIFS(Purchases!$K$5:INDEX(Purchases!$K$5:$K$20004,TxRows),Purchases!$L$5:INDEX(Purchases!$L$5:$L$20004,TxRows),$A27,Purchases!$A$5:INDEX(Purchases!$A$5:$A$20004,TxRows),"&gt;="&amp;FYStart,Purchases!$A$5:INDEX(Purchases!$A$5:$A$20004,TxRows),"&lt;"&amp;EDATE(FYStart,12)))</f>
        <v/>
      </c>
      <c r="E27" s="107">
        <f>IF($A27="","",SUMIFS(Purchases!$M$5:INDEX(Purchases!$M$5:$M$20004,TxRows),Purchases!$L$5:INDEX(Purchases!$L$5:$L$20004,TxRows),$A27,Purchases!$A$5:INDEX(Purchases!$A$5:$A$20004,TxRows),"&gt;="&amp;FYStart,Purchases!$A$5:INDEX(Purchases!$A$5:$A$20004,TxRows),"&lt;"&amp;EDATE(FYStart,12))+SUMIFS(Purchases!$N$5:INDEX(Purchases!$N$5:$N$20004,TxRows),Purchases!$L$5:INDEX(Purchases!$L$5:$L$20004,TxRows),$A27,Purchases!$A$5:INDEX(Purchases!$A$5:$A$20004,TxRows),"&gt;="&amp;FYStart,Purchases!$A$5:INDEX(Purchases!$A$5:$A$20004,TxRows),"&lt;"&amp;EDATE(FYStart,12))+SUMIFS(Purchases!$O$5:INDEX(Purchases!$O$5:$O$20004,TxRows),Purchases!$L$5:INDEX(Purchases!$L$5:$L$20004,TxRows),$A27,Purchases!$A$5:INDEX(Purchases!$A$5:$A$20004,TxRows),"&gt;="&amp;FYStart,Purchases!$A$5:INDEX(Purchases!$A$5:$A$20004,TxRows),"&lt;"&amp;EDATE(FYStart,12)))</f>
        <v/>
      </c>
      <c r="F27" s="107">
        <f>IF($A27="","",C27-E27)</f>
        <v/>
      </c>
      <c r="H27" s="108">
        <f>IF(Settings!I9="","",Settings!I9)</f>
        <v/>
      </c>
      <c r="I27" s="107">
        <f>IF(H27="","",SUMIFS(CashBook!$G$5:INDEX(CashBook!$G$5:$G$20004,TxRows),CashBook!$C$5:INDEX(CashBook!$C$5:$C$20004,TxRows),"Expense",CashBook!$E$5:INDEX(CashBook!$E$5:$E$20004,TxRows),H27,CashBook!$A$5:INDEX(CashBook!$A$5:$A$20004,TxRows),"&gt;="&amp;FYStart,CashBook!$A$5:INDEX(CashBook!$A$5:$A$20004,TxRows),"&lt;"&amp;EDATE(FYStart,12)))</f>
        <v/>
      </c>
      <c r="J27" s="109">
        <f>IF(H27="","",IF(SUM($I$23:$I$34)=0,0,I27/SUM($I$23:$I$34)))</f>
        <v/>
      </c>
    </row>
    <row r="28">
      <c r="A28" s="106">
        <f>IF(Settings!F10="","",Settings!F10)</f>
        <v/>
      </c>
      <c r="B28" s="107">
        <f>IF($A28="","",SUMIFS(Sales!$L$5:INDEX(Sales!$L$5:$L$20004,TxRows),Sales!$M$5:INDEX(Sales!$M$5:$M$20004,TxRows),$A28,Sales!$A$5:INDEX(Sales!$A$5:$A$20004,TxRows),"&gt;="&amp;FYStart,Sales!$A$5:INDEX(Sales!$A$5:$A$20004,TxRows),"&lt;"&amp;EDATE(FYStart,12)))</f>
        <v/>
      </c>
      <c r="C28" s="107">
        <f>IF($A28="","",SUMIFS(Sales!$N$5:INDEX(Sales!$N$5:$N$20004,TxRows),Sales!$M$5:INDEX(Sales!$M$5:$M$20004,TxRows),$A28,Sales!$A$5:INDEX(Sales!$A$5:$A$20004,TxRows),"&gt;="&amp;FYStart,Sales!$A$5:INDEX(Sales!$A$5:$A$20004,TxRows),"&lt;"&amp;EDATE(FYStart,12))+SUMIFS(Sales!$O$5:INDEX(Sales!$O$5:$O$20004,TxRows),Sales!$M$5:INDEX(Sales!$M$5:$M$20004,TxRows),$A28,Sales!$A$5:INDEX(Sales!$A$5:$A$20004,TxRows),"&gt;="&amp;FYStart,Sales!$A$5:INDEX(Sales!$A$5:$A$20004,TxRows),"&lt;"&amp;EDATE(FYStart,12))+SUMIFS(Sales!$P$5:INDEX(Sales!$P$5:$P$20004,TxRows),Sales!$M$5:INDEX(Sales!$M$5:$M$20004,TxRows),$A28,Sales!$A$5:INDEX(Sales!$A$5:$A$20004,TxRows),"&gt;="&amp;FYStart,Sales!$A$5:INDEX(Sales!$A$5:$A$20004,TxRows),"&lt;"&amp;EDATE(FYStart,12)))</f>
        <v/>
      </c>
      <c r="D28" s="107">
        <f>IF($A28="","",SUMIFS(Purchases!$K$5:INDEX(Purchases!$K$5:$K$20004,TxRows),Purchases!$L$5:INDEX(Purchases!$L$5:$L$20004,TxRows),$A28,Purchases!$A$5:INDEX(Purchases!$A$5:$A$20004,TxRows),"&gt;="&amp;FYStart,Purchases!$A$5:INDEX(Purchases!$A$5:$A$20004,TxRows),"&lt;"&amp;EDATE(FYStart,12)))</f>
        <v/>
      </c>
      <c r="E28" s="107">
        <f>IF($A28="","",SUMIFS(Purchases!$M$5:INDEX(Purchases!$M$5:$M$20004,TxRows),Purchases!$L$5:INDEX(Purchases!$L$5:$L$20004,TxRows),$A28,Purchases!$A$5:INDEX(Purchases!$A$5:$A$20004,TxRows),"&gt;="&amp;FYStart,Purchases!$A$5:INDEX(Purchases!$A$5:$A$20004,TxRows),"&lt;"&amp;EDATE(FYStart,12))+SUMIFS(Purchases!$N$5:INDEX(Purchases!$N$5:$N$20004,TxRows),Purchases!$L$5:INDEX(Purchases!$L$5:$L$20004,TxRows),$A28,Purchases!$A$5:INDEX(Purchases!$A$5:$A$20004,TxRows),"&gt;="&amp;FYStart,Purchases!$A$5:INDEX(Purchases!$A$5:$A$20004,TxRows),"&lt;"&amp;EDATE(FYStart,12))+SUMIFS(Purchases!$O$5:INDEX(Purchases!$O$5:$O$20004,TxRows),Purchases!$L$5:INDEX(Purchases!$L$5:$L$20004,TxRows),$A28,Purchases!$A$5:INDEX(Purchases!$A$5:$A$20004,TxRows),"&gt;="&amp;FYStart,Purchases!$A$5:INDEX(Purchases!$A$5:$A$20004,TxRows),"&lt;"&amp;EDATE(FYStart,12)))</f>
        <v/>
      </c>
      <c r="F28" s="107">
        <f>IF($A28="","",C28-E28)</f>
        <v/>
      </c>
      <c r="H28" s="108">
        <f>IF(Settings!I10="","",Settings!I10)</f>
        <v/>
      </c>
      <c r="I28" s="107">
        <f>IF(H28="","",SUMIFS(CashBook!$G$5:INDEX(CashBook!$G$5:$G$20004,TxRows),CashBook!$C$5:INDEX(CashBook!$C$5:$C$20004,TxRows),"Expense",CashBook!$E$5:INDEX(CashBook!$E$5:$E$20004,TxRows),H28,CashBook!$A$5:INDEX(CashBook!$A$5:$A$20004,TxRows),"&gt;="&amp;FYStart,CashBook!$A$5:INDEX(CashBook!$A$5:$A$20004,TxRows),"&lt;"&amp;EDATE(FYStart,12)))</f>
        <v/>
      </c>
      <c r="J28" s="109">
        <f>IF(H28="","",IF(SUM($I$23:$I$34)=0,0,I28/SUM($I$23:$I$34)))</f>
        <v/>
      </c>
    </row>
    <row r="29">
      <c r="A29" s="106">
        <f>IF(Settings!F11="","",Settings!F11)</f>
        <v/>
      </c>
      <c r="B29" s="107">
        <f>IF($A29="","",SUMIFS(Sales!$L$5:INDEX(Sales!$L$5:$L$20004,TxRows),Sales!$M$5:INDEX(Sales!$M$5:$M$20004,TxRows),$A29,Sales!$A$5:INDEX(Sales!$A$5:$A$20004,TxRows),"&gt;="&amp;FYStart,Sales!$A$5:INDEX(Sales!$A$5:$A$20004,TxRows),"&lt;"&amp;EDATE(FYStart,12)))</f>
        <v/>
      </c>
      <c r="C29" s="107">
        <f>IF($A29="","",SUMIFS(Sales!$N$5:INDEX(Sales!$N$5:$N$20004,TxRows),Sales!$M$5:INDEX(Sales!$M$5:$M$20004,TxRows),$A29,Sales!$A$5:INDEX(Sales!$A$5:$A$20004,TxRows),"&gt;="&amp;FYStart,Sales!$A$5:INDEX(Sales!$A$5:$A$20004,TxRows),"&lt;"&amp;EDATE(FYStart,12))+SUMIFS(Sales!$O$5:INDEX(Sales!$O$5:$O$20004,TxRows),Sales!$M$5:INDEX(Sales!$M$5:$M$20004,TxRows),$A29,Sales!$A$5:INDEX(Sales!$A$5:$A$20004,TxRows),"&gt;="&amp;FYStart,Sales!$A$5:INDEX(Sales!$A$5:$A$20004,TxRows),"&lt;"&amp;EDATE(FYStart,12))+SUMIFS(Sales!$P$5:INDEX(Sales!$P$5:$P$20004,TxRows),Sales!$M$5:INDEX(Sales!$M$5:$M$20004,TxRows),$A29,Sales!$A$5:INDEX(Sales!$A$5:$A$20004,TxRows),"&gt;="&amp;FYStart,Sales!$A$5:INDEX(Sales!$A$5:$A$20004,TxRows),"&lt;"&amp;EDATE(FYStart,12)))</f>
        <v/>
      </c>
      <c r="D29" s="107">
        <f>IF($A29="","",SUMIFS(Purchases!$K$5:INDEX(Purchases!$K$5:$K$20004,TxRows),Purchases!$L$5:INDEX(Purchases!$L$5:$L$20004,TxRows),$A29,Purchases!$A$5:INDEX(Purchases!$A$5:$A$20004,TxRows),"&gt;="&amp;FYStart,Purchases!$A$5:INDEX(Purchases!$A$5:$A$20004,TxRows),"&lt;"&amp;EDATE(FYStart,12)))</f>
        <v/>
      </c>
      <c r="E29" s="107">
        <f>IF($A29="","",SUMIFS(Purchases!$M$5:INDEX(Purchases!$M$5:$M$20004,TxRows),Purchases!$L$5:INDEX(Purchases!$L$5:$L$20004,TxRows),$A29,Purchases!$A$5:INDEX(Purchases!$A$5:$A$20004,TxRows),"&gt;="&amp;FYStart,Purchases!$A$5:INDEX(Purchases!$A$5:$A$20004,TxRows),"&lt;"&amp;EDATE(FYStart,12))+SUMIFS(Purchases!$N$5:INDEX(Purchases!$N$5:$N$20004,TxRows),Purchases!$L$5:INDEX(Purchases!$L$5:$L$20004,TxRows),$A29,Purchases!$A$5:INDEX(Purchases!$A$5:$A$20004,TxRows),"&gt;="&amp;FYStart,Purchases!$A$5:INDEX(Purchases!$A$5:$A$20004,TxRows),"&lt;"&amp;EDATE(FYStart,12))+SUMIFS(Purchases!$O$5:INDEX(Purchases!$O$5:$O$20004,TxRows),Purchases!$L$5:INDEX(Purchases!$L$5:$L$20004,TxRows),$A29,Purchases!$A$5:INDEX(Purchases!$A$5:$A$20004,TxRows),"&gt;="&amp;FYStart,Purchases!$A$5:INDEX(Purchases!$A$5:$A$20004,TxRows),"&lt;"&amp;EDATE(FYStart,12)))</f>
        <v/>
      </c>
      <c r="F29" s="107">
        <f>IF($A29="","",C29-E29)</f>
        <v/>
      </c>
      <c r="H29" s="108">
        <f>IF(Settings!I11="","",Settings!I11)</f>
        <v/>
      </c>
      <c r="I29" s="107">
        <f>IF(H29="","",SUMIFS(CashBook!$G$5:INDEX(CashBook!$G$5:$G$20004,TxRows),CashBook!$C$5:INDEX(CashBook!$C$5:$C$20004,TxRows),"Expense",CashBook!$E$5:INDEX(CashBook!$E$5:$E$20004,TxRows),H29,CashBook!$A$5:INDEX(CashBook!$A$5:$A$20004,TxRows),"&gt;="&amp;FYStart,CashBook!$A$5:INDEX(CashBook!$A$5:$A$20004,TxRows),"&lt;"&amp;EDATE(FYStart,12)))</f>
        <v/>
      </c>
      <c r="J29" s="109">
        <f>IF(H29="","",IF(SUM($I$23:$I$34)=0,0,I29/SUM($I$23:$I$34)))</f>
        <v/>
      </c>
    </row>
    <row r="30">
      <c r="A30" s="106">
        <f>IF(Settings!F12="","",Settings!F12)</f>
        <v/>
      </c>
      <c r="B30" s="107">
        <f>IF($A30="","",SUMIFS(Sales!$L$5:INDEX(Sales!$L$5:$L$20004,TxRows),Sales!$M$5:INDEX(Sales!$M$5:$M$20004,TxRows),$A30,Sales!$A$5:INDEX(Sales!$A$5:$A$20004,TxRows),"&gt;="&amp;FYStart,Sales!$A$5:INDEX(Sales!$A$5:$A$20004,TxRows),"&lt;"&amp;EDATE(FYStart,12)))</f>
        <v/>
      </c>
      <c r="C30" s="107">
        <f>IF($A30="","",SUMIFS(Sales!$N$5:INDEX(Sales!$N$5:$N$20004,TxRows),Sales!$M$5:INDEX(Sales!$M$5:$M$20004,TxRows),$A30,Sales!$A$5:INDEX(Sales!$A$5:$A$20004,TxRows),"&gt;="&amp;FYStart,Sales!$A$5:INDEX(Sales!$A$5:$A$20004,TxRows),"&lt;"&amp;EDATE(FYStart,12))+SUMIFS(Sales!$O$5:INDEX(Sales!$O$5:$O$20004,TxRows),Sales!$M$5:INDEX(Sales!$M$5:$M$20004,TxRows),$A30,Sales!$A$5:INDEX(Sales!$A$5:$A$20004,TxRows),"&gt;="&amp;FYStart,Sales!$A$5:INDEX(Sales!$A$5:$A$20004,TxRows),"&lt;"&amp;EDATE(FYStart,12))+SUMIFS(Sales!$P$5:INDEX(Sales!$P$5:$P$20004,TxRows),Sales!$M$5:INDEX(Sales!$M$5:$M$20004,TxRows),$A30,Sales!$A$5:INDEX(Sales!$A$5:$A$20004,TxRows),"&gt;="&amp;FYStart,Sales!$A$5:INDEX(Sales!$A$5:$A$20004,TxRows),"&lt;"&amp;EDATE(FYStart,12)))</f>
        <v/>
      </c>
      <c r="D30" s="107">
        <f>IF($A30="","",SUMIFS(Purchases!$K$5:INDEX(Purchases!$K$5:$K$20004,TxRows),Purchases!$L$5:INDEX(Purchases!$L$5:$L$20004,TxRows),$A30,Purchases!$A$5:INDEX(Purchases!$A$5:$A$20004,TxRows),"&gt;="&amp;FYStart,Purchases!$A$5:INDEX(Purchases!$A$5:$A$20004,TxRows),"&lt;"&amp;EDATE(FYStart,12)))</f>
        <v/>
      </c>
      <c r="E30" s="107">
        <f>IF($A30="","",SUMIFS(Purchases!$M$5:INDEX(Purchases!$M$5:$M$20004,TxRows),Purchases!$L$5:INDEX(Purchases!$L$5:$L$20004,TxRows),$A30,Purchases!$A$5:INDEX(Purchases!$A$5:$A$20004,TxRows),"&gt;="&amp;FYStart,Purchases!$A$5:INDEX(Purchases!$A$5:$A$20004,TxRows),"&lt;"&amp;EDATE(FYStart,12))+SUMIFS(Purchases!$N$5:INDEX(Purchases!$N$5:$N$20004,TxRows),Purchases!$L$5:INDEX(Purchases!$L$5:$L$20004,TxRows),$A30,Purchases!$A$5:INDEX(Purchases!$A$5:$A$20004,TxRows),"&gt;="&amp;FYStart,Purchases!$A$5:INDEX(Purchases!$A$5:$A$20004,TxRows),"&lt;"&amp;EDATE(FYStart,12))+SUMIFS(Purchases!$O$5:INDEX(Purchases!$O$5:$O$20004,TxRows),Purchases!$L$5:INDEX(Purchases!$L$5:$L$20004,TxRows),$A30,Purchases!$A$5:INDEX(Purchases!$A$5:$A$20004,TxRows),"&gt;="&amp;FYStart,Purchases!$A$5:INDEX(Purchases!$A$5:$A$20004,TxRows),"&lt;"&amp;EDATE(FYStart,12)))</f>
        <v/>
      </c>
      <c r="F30" s="107">
        <f>IF($A30="","",C30-E30)</f>
        <v/>
      </c>
      <c r="H30" s="108">
        <f>IF(Settings!I12="","",Settings!I12)</f>
        <v/>
      </c>
      <c r="I30" s="107">
        <f>IF(H30="","",SUMIFS(CashBook!$G$5:INDEX(CashBook!$G$5:$G$20004,TxRows),CashBook!$C$5:INDEX(CashBook!$C$5:$C$20004,TxRows),"Expense",CashBook!$E$5:INDEX(CashBook!$E$5:$E$20004,TxRows),H30,CashBook!$A$5:INDEX(CashBook!$A$5:$A$20004,TxRows),"&gt;="&amp;FYStart,CashBook!$A$5:INDEX(CashBook!$A$5:$A$20004,TxRows),"&lt;"&amp;EDATE(FYStart,12)))</f>
        <v/>
      </c>
      <c r="J30" s="109">
        <f>IF(H30="","",IF(SUM($I$23:$I$34)=0,0,I30/SUM($I$23:$I$34)))</f>
        <v/>
      </c>
    </row>
    <row r="31">
      <c r="H31" s="108">
        <f>IF(Settings!I13="","",Settings!I13)</f>
        <v/>
      </c>
      <c r="I31" s="107">
        <f>IF(H31="","",SUMIFS(CashBook!$G$5:INDEX(CashBook!$G$5:$G$20004,TxRows),CashBook!$C$5:INDEX(CashBook!$C$5:$C$20004,TxRows),"Expense",CashBook!$E$5:INDEX(CashBook!$E$5:$E$20004,TxRows),H31,CashBook!$A$5:INDEX(CashBook!$A$5:$A$20004,TxRows),"&gt;="&amp;FYStart,CashBook!$A$5:INDEX(CashBook!$A$5:$A$20004,TxRows),"&lt;"&amp;EDATE(FYStart,12)))</f>
        <v/>
      </c>
      <c r="J31" s="109">
        <f>IF(H31="","",IF(SUM($I$23:$I$34)=0,0,I31/SUM($I$23:$I$34)))</f>
        <v/>
      </c>
    </row>
    <row r="32">
      <c r="H32" s="108">
        <f>IF(Settings!I14="","",Settings!I14)</f>
        <v/>
      </c>
      <c r="I32" s="107">
        <f>IF(H32="","",SUMIFS(CashBook!$G$5:INDEX(CashBook!$G$5:$G$20004,TxRows),CashBook!$C$5:INDEX(CashBook!$C$5:$C$20004,TxRows),"Expense",CashBook!$E$5:INDEX(CashBook!$E$5:$E$20004,TxRows),H32,CashBook!$A$5:INDEX(CashBook!$A$5:$A$20004,TxRows),"&gt;="&amp;FYStart,CashBook!$A$5:INDEX(CashBook!$A$5:$A$20004,TxRows),"&lt;"&amp;EDATE(FYStart,12)))</f>
        <v/>
      </c>
      <c r="J32" s="109">
        <f>IF(H32="","",IF(SUM($I$23:$I$34)=0,0,I32/SUM($I$23:$I$34)))</f>
        <v/>
      </c>
    </row>
    <row r="33">
      <c r="H33" s="108">
        <f>IF(Settings!I15="","",Settings!I15)</f>
        <v/>
      </c>
      <c r="I33" s="107">
        <f>IF(H33="","",SUMIFS(CashBook!$G$5:INDEX(CashBook!$G$5:$G$20004,TxRows),CashBook!$C$5:INDEX(CashBook!$C$5:$C$20004,TxRows),"Expense",CashBook!$E$5:INDEX(CashBook!$E$5:$E$20004,TxRows),H33,CashBook!$A$5:INDEX(CashBook!$A$5:$A$20004,TxRows),"&gt;="&amp;FYStart,CashBook!$A$5:INDEX(CashBook!$A$5:$A$20004,TxRows),"&lt;"&amp;EDATE(FYStart,12)))</f>
        <v/>
      </c>
      <c r="J33" s="109">
        <f>IF(H33="","",IF(SUM($I$23:$I$34)=0,0,I33/SUM($I$23:$I$34)))</f>
        <v/>
      </c>
    </row>
    <row r="34">
      <c r="H34" s="108">
        <f>IF(Settings!I16="","",Settings!I16)</f>
        <v/>
      </c>
      <c r="I34" s="107">
        <f>IF(H34="","",SUMIFS(CashBook!$G$5:INDEX(CashBook!$G$5:$G$20004,TxRows),CashBook!$C$5:INDEX(CashBook!$C$5:$C$20004,TxRows),"Expense",CashBook!$E$5:INDEX(CashBook!$E$5:$E$20004,TxRows),H34,CashBook!$A$5:INDEX(CashBook!$A$5:$A$20004,TxRows),"&gt;="&amp;FYStart,CashBook!$A$5:INDEX(CashBook!$A$5:$A$20004,TxRows),"&lt;"&amp;EDATE(FYStart,12)))</f>
        <v/>
      </c>
      <c r="J34" s="109">
        <f>IF(H34="","",IF(SUM($I$23:$I$34)=0,0,I34/SUM($I$23:$I$34)))</f>
        <v/>
      </c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57575"/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</cols>
  <sheetData>
    <row r="1" ht="28" customHeight="1">
      <c r="A1" s="73" t="inlineStr">
        <is>
          <t>SETTINGS &amp; MASTER LISTS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Set this up once. Every list here feeds the dropdowns across the ERP.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F3" s="7" t="inlineStr">
        <is>
          <t>GST slabs: 5/18/40% apply post GST-2.0 (Sep-2025); 12/28% kept for legacy items.</t>
        </is>
      </c>
    </row>
    <row r="4">
      <c r="A4" s="5" t="inlineStr">
        <is>
          <t>Company Name</t>
        </is>
      </c>
      <c r="B4" s="110" t="inlineStr">
        <is>
          <t>Your Trading Co.</t>
        </is>
      </c>
      <c r="D4" s="56" t="inlineStr">
        <is>
          <t>Categories</t>
        </is>
      </c>
      <c r="E4" s="56" t="inlineStr">
        <is>
          <t>Units</t>
        </is>
      </c>
      <c r="F4" s="56" t="inlineStr">
        <is>
          <t>GST Rates</t>
        </is>
      </c>
      <c r="G4" s="56" t="inlineStr">
        <is>
          <t>Pay Modes</t>
        </is>
      </c>
      <c r="H4" s="56" t="inlineStr">
        <is>
          <t>Voucher Types</t>
        </is>
      </c>
      <c r="I4" s="56" t="inlineStr">
        <is>
          <t>Expense Heads</t>
        </is>
      </c>
      <c r="J4" s="56" t="inlineStr">
        <is>
          <t>Party Types</t>
        </is>
      </c>
      <c r="K4" s="56" t="inlineStr">
        <is>
          <t>Delivery Status</t>
        </is>
      </c>
      <c r="L4" s="56" t="inlineStr">
        <is>
          <t>Adj. Reasons</t>
        </is>
      </c>
      <c r="M4" s="56" t="inlineStr">
        <is>
          <t>States</t>
        </is>
      </c>
    </row>
    <row r="5">
      <c r="A5" s="5" t="inlineStr">
        <is>
          <t>Address</t>
        </is>
      </c>
      <c r="B5" s="110" t="inlineStr">
        <is>
          <t>Shop 12, Main Market, Jaipur</t>
        </is>
      </c>
      <c r="D5" s="110" t="inlineStr">
        <is>
          <t>Grocery</t>
        </is>
      </c>
      <c r="E5" s="110" t="inlineStr">
        <is>
          <t>Pcs</t>
        </is>
      </c>
      <c r="F5" s="111" t="n">
        <v>0</v>
      </c>
      <c r="G5" s="110" t="inlineStr">
        <is>
          <t>Credit</t>
        </is>
      </c>
      <c r="H5" s="110" t="inlineStr">
        <is>
          <t>Receipt</t>
        </is>
      </c>
      <c r="I5" s="110" t="inlineStr">
        <is>
          <t>Rent</t>
        </is>
      </c>
      <c r="J5" s="110" t="inlineStr">
        <is>
          <t>Customer</t>
        </is>
      </c>
      <c r="K5" s="110" t="inlineStr">
        <is>
          <t>Pending</t>
        </is>
      </c>
      <c r="L5" s="110" t="inlineStr">
        <is>
          <t>Damage</t>
        </is>
      </c>
      <c r="M5" s="110" t="inlineStr">
        <is>
          <t>Andhra Pradesh</t>
        </is>
      </c>
    </row>
    <row r="6">
      <c r="A6" s="5" t="inlineStr">
        <is>
          <t>GSTIN</t>
        </is>
      </c>
      <c r="B6" s="110" t="inlineStr">
        <is>
          <t>08ABCDE1234F1Z5</t>
        </is>
      </c>
      <c r="D6" s="110" t="inlineStr">
        <is>
          <t>FMCG</t>
        </is>
      </c>
      <c r="E6" s="110" t="inlineStr">
        <is>
          <t>Kg</t>
        </is>
      </c>
      <c r="F6" s="111" t="n">
        <v>0.05</v>
      </c>
      <c r="G6" s="110" t="inlineStr">
        <is>
          <t>Cash</t>
        </is>
      </c>
      <c r="H6" s="110" t="inlineStr">
        <is>
          <t>Payment</t>
        </is>
      </c>
      <c r="I6" s="110" t="inlineStr">
        <is>
          <t>Salary</t>
        </is>
      </c>
      <c r="J6" s="110" t="inlineStr">
        <is>
          <t>Supplier</t>
        </is>
      </c>
      <c r="K6" s="110" t="inlineStr">
        <is>
          <t>Packed</t>
        </is>
      </c>
      <c r="L6" s="110" t="inlineStr">
        <is>
          <t>Expiry</t>
        </is>
      </c>
      <c r="M6" s="110" t="inlineStr">
        <is>
          <t>Arunachal Pradesh</t>
        </is>
      </c>
    </row>
    <row r="7">
      <c r="A7" s="5" t="inlineStr">
        <is>
          <t>Home State (for GST)</t>
        </is>
      </c>
      <c r="B7" s="110" t="inlineStr">
        <is>
          <t>Rajasthan</t>
        </is>
      </c>
      <c r="D7" s="110" t="inlineStr">
        <is>
          <t>Electrical</t>
        </is>
      </c>
      <c r="E7" s="110" t="inlineStr">
        <is>
          <t>Ltr</t>
        </is>
      </c>
      <c r="F7" s="111" t="n">
        <v>0.12</v>
      </c>
      <c r="G7" s="110" t="inlineStr">
        <is>
          <t>Bank</t>
        </is>
      </c>
      <c r="H7" s="110" t="inlineStr">
        <is>
          <t>Expense</t>
        </is>
      </c>
      <c r="I7" s="110" t="inlineStr">
        <is>
          <t>Electricity</t>
        </is>
      </c>
      <c r="J7" s="110" t="inlineStr">
        <is>
          <t>Both</t>
        </is>
      </c>
      <c r="K7" s="110" t="inlineStr">
        <is>
          <t>Dispatched</t>
        </is>
      </c>
      <c r="L7" s="110" t="inlineStr">
        <is>
          <t>Theft / Loss</t>
        </is>
      </c>
      <c r="M7" s="110" t="inlineStr">
        <is>
          <t>Assam</t>
        </is>
      </c>
    </row>
    <row r="8">
      <c r="A8" s="5" t="inlineStr">
        <is>
          <t>Phone / Email</t>
        </is>
      </c>
      <c r="B8" s="110" t="inlineStr">
        <is>
          <t>+91 98xxxxxx00</t>
        </is>
      </c>
      <c r="D8" s="110" t="inlineStr">
        <is>
          <t>Hardware</t>
        </is>
      </c>
      <c r="E8" s="110" t="inlineStr">
        <is>
          <t>Box</t>
        </is>
      </c>
      <c r="F8" s="111" t="n">
        <v>0.18</v>
      </c>
      <c r="G8" s="110" t="inlineStr">
        <is>
          <t>UPI</t>
        </is>
      </c>
      <c r="H8" s="110" t="inlineStr">
        <is>
          <t>Other Income</t>
        </is>
      </c>
      <c r="I8" s="110" t="inlineStr">
        <is>
          <t>Transport / Freight</t>
        </is>
      </c>
      <c r="J8" s="110" t="n"/>
      <c r="K8" s="110" t="inlineStr">
        <is>
          <t>Delivered</t>
        </is>
      </c>
      <c r="L8" s="110" t="inlineStr">
        <is>
          <t>Count Correction</t>
        </is>
      </c>
      <c r="M8" s="110" t="inlineStr">
        <is>
          <t>Bihar</t>
        </is>
      </c>
    </row>
    <row r="9">
      <c r="A9" s="5" t="inlineStr">
        <is>
          <t>Financial Year Start</t>
        </is>
      </c>
      <c r="B9" s="112" t="n">
        <v>46113</v>
      </c>
      <c r="D9" s="110" t="inlineStr">
        <is>
          <t>Stationery</t>
        </is>
      </c>
      <c r="E9" s="110" t="inlineStr">
        <is>
          <t>Bag</t>
        </is>
      </c>
      <c r="F9" s="111" t="n">
        <v>0.28</v>
      </c>
      <c r="G9" s="110" t="n"/>
      <c r="H9" s="110" t="inlineStr">
        <is>
          <t>Capital In</t>
        </is>
      </c>
      <c r="I9" s="110" t="inlineStr">
        <is>
          <t>Packing</t>
        </is>
      </c>
      <c r="J9" s="110" t="n"/>
      <c r="K9" s="110" t="inlineStr">
        <is>
          <t>Returned</t>
        </is>
      </c>
      <c r="L9" s="110" t="inlineStr">
        <is>
          <t>Sample / Free</t>
        </is>
      </c>
      <c r="M9" s="110" t="inlineStr">
        <is>
          <t>Chhattisgarh</t>
        </is>
      </c>
    </row>
    <row r="10">
      <c r="A10" s="5" t="inlineStr">
        <is>
          <t>Report As-Of Date</t>
        </is>
      </c>
      <c r="B10" s="113">
        <f>TODAY()</f>
        <v/>
      </c>
      <c r="D10" s="110" t="inlineStr">
        <is>
          <t>Garments</t>
        </is>
      </c>
      <c r="E10" s="110" t="inlineStr">
        <is>
          <t>Mtr</t>
        </is>
      </c>
      <c r="F10" s="111" t="n">
        <v>0.4</v>
      </c>
      <c r="G10" s="110" t="n"/>
      <c r="H10" s="110" t="inlineStr">
        <is>
          <t>Drawings</t>
        </is>
      </c>
      <c r="I10" s="110" t="inlineStr">
        <is>
          <t>Telephone / Internet</t>
        </is>
      </c>
      <c r="J10" s="110" t="n"/>
      <c r="K10" s="110" t="n"/>
      <c r="L10" s="110" t="inlineStr">
        <is>
          <t>Sales Return</t>
        </is>
      </c>
      <c r="M10" s="110" t="inlineStr">
        <is>
          <t>Goa</t>
        </is>
      </c>
    </row>
    <row r="11">
      <c r="A11" s="5" t="inlineStr">
        <is>
          <t>Invoice Prefix</t>
        </is>
      </c>
      <c r="B11" s="110" t="inlineStr">
        <is>
          <t>INV-</t>
        </is>
      </c>
      <c r="D11" s="110" t="inlineStr">
        <is>
          <t>Other</t>
        </is>
      </c>
      <c r="E11" s="110" t="inlineStr">
        <is>
          <t>Dozen</t>
        </is>
      </c>
      <c r="F11" s="111" t="n">
        <v>0.03</v>
      </c>
      <c r="G11" s="110" t="n"/>
      <c r="H11" s="110" t="inlineStr">
        <is>
          <t>Transfer In</t>
        </is>
      </c>
      <c r="I11" s="110" t="inlineStr">
        <is>
          <t>Repairs</t>
        </is>
      </c>
      <c r="J11" s="110" t="n"/>
      <c r="K11" s="110" t="n"/>
      <c r="L11" s="110" t="inlineStr">
        <is>
          <t>Purchase Return</t>
        </is>
      </c>
      <c r="M11" s="110" t="inlineStr">
        <is>
          <t>Gujarat</t>
        </is>
      </c>
    </row>
    <row r="12">
      <c r="A12" s="5" t="inlineStr">
        <is>
          <t>Dead-Stock Threshold (days)</t>
        </is>
      </c>
      <c r="B12" s="114" t="n">
        <v>90</v>
      </c>
      <c r="D12" s="110" t="n"/>
      <c r="E12" s="110" t="inlineStr">
        <is>
          <t>Pack</t>
        </is>
      </c>
      <c r="F12" s="111" t="n">
        <v>0.0025</v>
      </c>
      <c r="G12" s="110" t="n"/>
      <c r="H12" s="110" t="inlineStr">
        <is>
          <t>Transfer Out</t>
        </is>
      </c>
      <c r="I12" s="110" t="inlineStr">
        <is>
          <t>Bank Charges</t>
        </is>
      </c>
      <c r="J12" s="110" t="n"/>
      <c r="K12" s="110" t="n"/>
      <c r="L12" s="110" t="inlineStr">
        <is>
          <t>Opening Fix</t>
        </is>
      </c>
      <c r="M12" s="110" t="inlineStr">
        <is>
          <t>Haryana</t>
        </is>
      </c>
    </row>
    <row r="13">
      <c r="A13" s="5" t="inlineStr">
        <is>
          <t>Bank Details (on invoice)</t>
        </is>
      </c>
      <c r="B13" s="110" t="inlineStr">
        <is>
          <t>SBI A/c 0000000000 · IFSC SBIN0000000</t>
        </is>
      </c>
      <c r="D13" s="110" t="n"/>
      <c r="E13" s="110" t="n"/>
      <c r="F13" s="111" t="n"/>
      <c r="G13" s="110" t="n"/>
      <c r="H13" s="110" t="n"/>
      <c r="I13" s="110" t="inlineStr">
        <is>
          <t>Misc</t>
        </is>
      </c>
      <c r="J13" s="110" t="n"/>
      <c r="K13" s="110" t="n"/>
      <c r="L13" s="110" t="n"/>
      <c r="M13" s="110" t="inlineStr">
        <is>
          <t>Himachal Pradesh</t>
        </is>
      </c>
    </row>
    <row r="14">
      <c r="A14" s="5" t="inlineStr">
        <is>
          <t>PRO: Registered Mobile No.</t>
        </is>
      </c>
      <c r="B14" s="115" t="inlineStr"/>
      <c r="D14" s="110" t="n"/>
      <c r="E14" s="110" t="n"/>
      <c r="F14" s="111" t="n"/>
      <c r="G14" s="110" t="n"/>
      <c r="H14" s="110" t="n"/>
      <c r="I14" s="110" t="n"/>
      <c r="J14" s="110" t="n"/>
      <c r="K14" s="110" t="n"/>
      <c r="L14" s="110" t="n"/>
      <c r="M14" s="110" t="inlineStr">
        <is>
          <t>Jharkhand</t>
        </is>
      </c>
    </row>
    <row r="15">
      <c r="A15" s="5" t="inlineStr">
        <is>
          <t>PRO: License Key</t>
        </is>
      </c>
      <c r="B15" s="115" t="inlineStr"/>
      <c r="D15" s="110" t="n"/>
      <c r="E15" s="110" t="n"/>
      <c r="F15" s="111" t="n"/>
      <c r="G15" s="110" t="n"/>
      <c r="H15" s="110" t="n"/>
      <c r="I15" s="110" t="n"/>
      <c r="J15" s="110" t="n"/>
      <c r="K15" s="110" t="n"/>
      <c r="L15" s="110" t="n"/>
      <c r="M15" s="110" t="inlineStr">
        <is>
          <t>Karnataka</t>
        </is>
      </c>
    </row>
    <row r="16">
      <c r="A16" s="55" t="inlineStr">
        <is>
          <t>Cash / Bank Accounts</t>
        </is>
      </c>
      <c r="D16" s="110" t="n"/>
      <c r="E16" s="110" t="n"/>
      <c r="F16" s="111" t="n"/>
      <c r="G16" s="110" t="n"/>
      <c r="H16" s="110" t="n"/>
      <c r="I16" s="110" t="n"/>
      <c r="J16" s="110" t="n"/>
      <c r="K16" s="110" t="n"/>
      <c r="L16" s="110" t="n"/>
      <c r="M16" s="110" t="inlineStr">
        <is>
          <t>Kerala</t>
        </is>
      </c>
    </row>
    <row r="17">
      <c r="A17" s="116" t="inlineStr">
        <is>
          <t>Account</t>
        </is>
      </c>
      <c r="B17" s="116" t="inlineStr">
        <is>
          <t>Opening Balance (₹)</t>
        </is>
      </c>
      <c r="D17" s="110" t="n"/>
      <c r="E17" s="110" t="n"/>
      <c r="F17" s="111" t="n"/>
      <c r="G17" s="110" t="n"/>
      <c r="H17" s="110" t="n"/>
      <c r="I17" s="110" t="n"/>
      <c r="J17" s="110" t="n"/>
      <c r="K17" s="110" t="n"/>
      <c r="L17" s="110" t="n"/>
      <c r="M17" s="110" t="inlineStr">
        <is>
          <t>Madhya Pradesh</t>
        </is>
      </c>
    </row>
    <row r="18">
      <c r="A18" s="110" t="inlineStr">
        <is>
          <t>Cash</t>
        </is>
      </c>
      <c r="B18" s="117" t="n">
        <v>50000</v>
      </c>
      <c r="D18" s="110" t="n"/>
      <c r="E18" s="110" t="n"/>
      <c r="F18" s="111" t="n"/>
      <c r="G18" s="110" t="n"/>
      <c r="H18" s="110" t="n"/>
      <c r="I18" s="110" t="n"/>
      <c r="J18" s="110" t="n"/>
      <c r="K18" s="110" t="n"/>
      <c r="L18" s="110" t="n"/>
      <c r="M18" s="110" t="inlineStr">
        <is>
          <t>Maharashtra</t>
        </is>
      </c>
    </row>
    <row r="19">
      <c r="A19" s="110" t="inlineStr">
        <is>
          <t>Bank</t>
        </is>
      </c>
      <c r="B19" s="117" t="n">
        <v>250000</v>
      </c>
      <c r="D19" s="110" t="n"/>
      <c r="E19" s="110" t="n"/>
      <c r="F19" s="111" t="n"/>
      <c r="G19" s="110" t="n"/>
      <c r="H19" s="110" t="n"/>
      <c r="I19" s="110" t="n"/>
      <c r="J19" s="110" t="n"/>
      <c r="K19" s="110" t="n"/>
      <c r="L19" s="110" t="n"/>
      <c r="M19" s="110" t="inlineStr">
        <is>
          <t>Manipur</t>
        </is>
      </c>
    </row>
    <row r="20">
      <c r="A20" s="110" t="inlineStr">
        <is>
          <t>UPI</t>
        </is>
      </c>
      <c r="B20" s="117" t="n">
        <v>0</v>
      </c>
      <c r="D20" s="110" t="n"/>
      <c r="E20" s="110" t="n"/>
      <c r="F20" s="111" t="n"/>
      <c r="G20" s="110" t="n"/>
      <c r="H20" s="110" t="n"/>
      <c r="I20" s="110" t="n"/>
      <c r="J20" s="110" t="n"/>
      <c r="K20" s="110" t="n"/>
      <c r="L20" s="110" t="n"/>
      <c r="M20" s="110" t="inlineStr">
        <is>
          <t>Meghalaya</t>
        </is>
      </c>
    </row>
    <row r="21">
      <c r="A21" s="110" t="n"/>
      <c r="B21" s="117" t="n"/>
      <c r="D21" s="110" t="n"/>
      <c r="E21" s="110" t="n"/>
      <c r="F21" s="111" t="n"/>
      <c r="G21" s="110" t="n"/>
      <c r="H21" s="110" t="n"/>
      <c r="I21" s="110" t="n"/>
      <c r="J21" s="110" t="n"/>
      <c r="K21" s="110" t="n"/>
      <c r="L21" s="110" t="n"/>
      <c r="M21" s="110" t="inlineStr">
        <is>
          <t>Mizoram</t>
        </is>
      </c>
    </row>
    <row r="22">
      <c r="A22" s="110" t="n"/>
      <c r="B22" s="117" t="n"/>
      <c r="D22" s="110" t="n"/>
      <c r="E22" s="110" t="n"/>
      <c r="F22" s="111" t="n"/>
      <c r="G22" s="110" t="n"/>
      <c r="H22" s="110" t="n"/>
      <c r="I22" s="110" t="n"/>
      <c r="J22" s="110" t="n"/>
      <c r="K22" s="110" t="n"/>
      <c r="L22" s="110" t="n"/>
      <c r="M22" s="110" t="inlineStr">
        <is>
          <t>Nagaland</t>
        </is>
      </c>
    </row>
    <row r="23">
      <c r="A23" s="110" t="n"/>
      <c r="B23" s="117" t="n"/>
      <c r="D23" s="110" t="n"/>
      <c r="E23" s="110" t="n"/>
      <c r="F23" s="111" t="n"/>
      <c r="G23" s="110" t="n"/>
      <c r="H23" s="110" t="n"/>
      <c r="I23" s="110" t="n"/>
      <c r="J23" s="110" t="n"/>
      <c r="K23" s="110" t="n"/>
      <c r="L23" s="110" t="n"/>
      <c r="M23" s="110" t="inlineStr">
        <is>
          <t>Odisha</t>
        </is>
      </c>
    </row>
    <row r="24">
      <c r="A24" s="110" t="n"/>
      <c r="B24" s="117" t="n"/>
      <c r="D24" s="110" t="n"/>
      <c r="E24" s="110" t="n"/>
      <c r="F24" s="111" t="n"/>
      <c r="G24" s="110" t="n"/>
      <c r="H24" s="110" t="n"/>
      <c r="I24" s="110" t="n"/>
      <c r="J24" s="110" t="n"/>
      <c r="K24" s="110" t="n"/>
      <c r="L24" s="110" t="n"/>
      <c r="M24" s="110" t="inlineStr">
        <is>
          <t>Punjab</t>
        </is>
      </c>
    </row>
    <row r="25">
      <c r="A25" s="110" t="n"/>
      <c r="B25" s="117" t="n"/>
      <c r="D25" s="110" t="n"/>
      <c r="E25" s="110" t="n"/>
      <c r="F25" s="111" t="n"/>
      <c r="G25" s="110" t="n"/>
      <c r="H25" s="110" t="n"/>
      <c r="I25" s="110" t="n"/>
      <c r="J25" s="110" t="n"/>
      <c r="K25" s="110" t="n"/>
      <c r="L25" s="110" t="n"/>
      <c r="M25" s="110" t="inlineStr">
        <is>
          <t>Rajasthan</t>
        </is>
      </c>
    </row>
    <row r="26">
      <c r="D26" s="110" t="n"/>
      <c r="E26" s="110" t="n"/>
      <c r="F26" s="111" t="n"/>
      <c r="G26" s="110" t="n"/>
      <c r="H26" s="110" t="n"/>
      <c r="I26" s="110" t="n"/>
      <c r="J26" s="110" t="n"/>
      <c r="K26" s="110" t="n"/>
      <c r="L26" s="110" t="n"/>
      <c r="M26" s="110" t="inlineStr">
        <is>
          <t>Sikkim</t>
        </is>
      </c>
    </row>
    <row r="27">
      <c r="A27" s="7" t="inlineStr">
        <is>
          <t>Opening balances are your figures on FY start - replace the sample values.</t>
        </is>
      </c>
      <c r="D27" s="110" t="n"/>
      <c r="E27" s="110" t="n"/>
      <c r="F27" s="111" t="n"/>
      <c r="G27" s="110" t="n"/>
      <c r="H27" s="110" t="n"/>
      <c r="I27" s="110" t="n"/>
      <c r="J27" s="110" t="n"/>
      <c r="K27" s="110" t="n"/>
      <c r="L27" s="110" t="n"/>
      <c r="M27" s="110" t="inlineStr">
        <is>
          <t>Tamil Nadu</t>
        </is>
      </c>
    </row>
    <row r="28">
      <c r="D28" s="110" t="n"/>
      <c r="E28" s="110" t="n"/>
      <c r="F28" s="111" t="n"/>
      <c r="G28" s="110" t="n"/>
      <c r="H28" s="110" t="n"/>
      <c r="I28" s="110" t="n"/>
      <c r="J28" s="110" t="n"/>
      <c r="K28" s="110" t="n"/>
      <c r="L28" s="110" t="n"/>
      <c r="M28" s="110" t="inlineStr">
        <is>
          <t>Telangana</t>
        </is>
      </c>
    </row>
    <row r="29">
      <c r="D29" s="110" t="n"/>
      <c r="E29" s="110" t="n"/>
      <c r="F29" s="111" t="n"/>
      <c r="G29" s="110" t="n"/>
      <c r="H29" s="110" t="n"/>
      <c r="I29" s="110" t="n"/>
      <c r="J29" s="110" t="n"/>
      <c r="K29" s="110" t="n"/>
      <c r="L29" s="110" t="n"/>
      <c r="M29" s="110" t="inlineStr">
        <is>
          <t>Tripura</t>
        </is>
      </c>
    </row>
    <row r="30">
      <c r="D30" s="110" t="n"/>
      <c r="E30" s="110" t="n"/>
      <c r="F30" s="111" t="n"/>
      <c r="G30" s="110" t="n"/>
      <c r="H30" s="110" t="n"/>
      <c r="I30" s="110" t="n"/>
      <c r="J30" s="110" t="n"/>
      <c r="K30" s="110" t="n"/>
      <c r="L30" s="110" t="n"/>
      <c r="M30" s="110" t="inlineStr">
        <is>
          <t>Uttar Pradesh</t>
        </is>
      </c>
    </row>
    <row r="31">
      <c r="D31" s="110" t="n"/>
      <c r="E31" s="110" t="n"/>
      <c r="F31" s="111" t="n"/>
      <c r="G31" s="110" t="n"/>
      <c r="H31" s="110" t="n"/>
      <c r="I31" s="110" t="n"/>
      <c r="J31" s="110" t="n"/>
      <c r="K31" s="110" t="n"/>
      <c r="L31" s="110" t="n"/>
      <c r="M31" s="110" t="inlineStr">
        <is>
          <t>Uttarakhand</t>
        </is>
      </c>
    </row>
    <row r="32">
      <c r="D32" s="110" t="n"/>
      <c r="E32" s="110" t="n"/>
      <c r="F32" s="111" t="n"/>
      <c r="G32" s="110" t="n"/>
      <c r="H32" s="110" t="n"/>
      <c r="I32" s="110" t="n"/>
      <c r="J32" s="110" t="n"/>
      <c r="K32" s="110" t="n"/>
      <c r="L32" s="110" t="n"/>
      <c r="M32" s="110" t="inlineStr">
        <is>
          <t>West Bengal</t>
        </is>
      </c>
    </row>
    <row r="33">
      <c r="D33" s="110" t="n"/>
      <c r="E33" s="110" t="n"/>
      <c r="F33" s="111" t="n"/>
      <c r="G33" s="110" t="n"/>
      <c r="H33" s="110" t="n"/>
      <c r="I33" s="110" t="n"/>
      <c r="J33" s="110" t="n"/>
      <c r="K33" s="110" t="n"/>
      <c r="L33" s="110" t="n"/>
      <c r="M33" s="110" t="inlineStr">
        <is>
          <t>Delhi</t>
        </is>
      </c>
    </row>
    <row r="34">
      <c r="D34" s="110" t="n"/>
      <c r="E34" s="110" t="n"/>
      <c r="F34" s="111" t="n"/>
      <c r="G34" s="110" t="n"/>
      <c r="H34" s="110" t="n"/>
      <c r="I34" s="110" t="n"/>
      <c r="J34" s="110" t="n"/>
      <c r="K34" s="110" t="n"/>
      <c r="L34" s="110" t="n"/>
      <c r="M34" s="110" t="inlineStr">
        <is>
          <t>Jammu and Kashmir</t>
        </is>
      </c>
    </row>
    <row r="35">
      <c r="D35" s="110" t="n"/>
      <c r="E35" s="110" t="n"/>
      <c r="F35" s="111" t="n"/>
      <c r="G35" s="110" t="n"/>
      <c r="H35" s="110" t="n"/>
      <c r="I35" s="110" t="n"/>
      <c r="J35" s="110" t="n"/>
      <c r="K35" s="110" t="n"/>
      <c r="L35" s="110" t="n"/>
      <c r="M35" s="110" t="inlineStr">
        <is>
          <t>Ladakh</t>
        </is>
      </c>
    </row>
    <row r="36">
      <c r="D36" s="110" t="n"/>
      <c r="E36" s="110" t="n"/>
      <c r="F36" s="111" t="n"/>
      <c r="G36" s="110" t="n"/>
      <c r="H36" s="110" t="n"/>
      <c r="I36" s="110" t="n"/>
      <c r="J36" s="110" t="n"/>
      <c r="K36" s="110" t="n"/>
      <c r="L36" s="110" t="n"/>
      <c r="M36" s="110" t="inlineStr">
        <is>
          <t>Puducherry</t>
        </is>
      </c>
    </row>
    <row r="37">
      <c r="D37" s="110" t="n"/>
      <c r="E37" s="110" t="n"/>
      <c r="F37" s="111" t="n"/>
      <c r="G37" s="110" t="n"/>
      <c r="H37" s="110" t="n"/>
      <c r="I37" s="110" t="n"/>
      <c r="J37" s="110" t="n"/>
      <c r="K37" s="110" t="n"/>
      <c r="L37" s="110" t="n"/>
      <c r="M37" s="110" t="inlineStr">
        <is>
          <t>Chandigarh</t>
        </is>
      </c>
    </row>
    <row r="38">
      <c r="D38" s="110" t="n"/>
      <c r="E38" s="110" t="n"/>
      <c r="F38" s="111" t="n"/>
      <c r="G38" s="110" t="n"/>
      <c r="H38" s="110" t="n"/>
      <c r="I38" s="110" t="n"/>
      <c r="J38" s="110" t="n"/>
      <c r="K38" s="110" t="n"/>
      <c r="L38" s="110" t="n"/>
      <c r="M38" s="110" t="inlineStr">
        <is>
          <t>Dadra &amp; Nagar Haveli and Daman &amp; Diu</t>
        </is>
      </c>
    </row>
    <row r="39">
      <c r="D39" s="110" t="n"/>
      <c r="E39" s="110" t="n"/>
      <c r="F39" s="111" t="n"/>
      <c r="G39" s="110" t="n"/>
      <c r="H39" s="110" t="n"/>
      <c r="I39" s="110" t="n"/>
      <c r="J39" s="110" t="n"/>
      <c r="K39" s="110" t="n"/>
      <c r="L39" s="110" t="n"/>
      <c r="M39" s="110" t="inlineStr">
        <is>
          <t>Lakshadweep</t>
        </is>
      </c>
    </row>
    <row r="40">
      <c r="D40" s="110" t="n"/>
      <c r="E40" s="110" t="n"/>
      <c r="F40" s="111" t="n"/>
      <c r="G40" s="110" t="n"/>
      <c r="H40" s="110" t="n"/>
      <c r="I40" s="110" t="n"/>
      <c r="J40" s="110" t="n"/>
      <c r="K40" s="110" t="n"/>
      <c r="L40" s="110" t="n"/>
      <c r="M40" s="110" t="inlineStr">
        <is>
          <t>Andaman &amp; Nicobar</t>
        </is>
      </c>
    </row>
    <row r="41">
      <c r="D41" s="110" t="n"/>
      <c r="E41" s="110" t="n"/>
      <c r="F41" s="111" t="n"/>
      <c r="G41" s="110" t="n"/>
      <c r="H41" s="110" t="n"/>
      <c r="I41" s="110" t="n"/>
      <c r="J41" s="110" t="n"/>
      <c r="K41" s="110" t="n"/>
      <c r="L41" s="110" t="n"/>
      <c r="M41" s="110" t="n"/>
    </row>
    <row r="42">
      <c r="D42" s="110" t="n"/>
      <c r="E42" s="110" t="n"/>
      <c r="F42" s="111" t="n"/>
      <c r="G42" s="110" t="n"/>
      <c r="H42" s="110" t="n"/>
      <c r="I42" s="110" t="n"/>
      <c r="J42" s="110" t="n"/>
      <c r="K42" s="110" t="n"/>
      <c r="L42" s="110" t="n"/>
      <c r="M42" s="110" t="n"/>
    </row>
    <row r="43">
      <c r="D43" s="110" t="n"/>
      <c r="E43" s="110" t="n"/>
      <c r="F43" s="111" t="n"/>
      <c r="G43" s="110" t="n"/>
      <c r="H43" s="110" t="n"/>
      <c r="I43" s="110" t="n"/>
      <c r="J43" s="110" t="n"/>
      <c r="K43" s="110" t="n"/>
      <c r="L43" s="110" t="n"/>
      <c r="M43" s="110" t="n"/>
    </row>
    <row r="44">
      <c r="D44" s="110" t="n"/>
      <c r="E44" s="110" t="n"/>
      <c r="F44" s="111" t="n"/>
      <c r="G44" s="110" t="n"/>
      <c r="H44" s="110" t="n"/>
      <c r="I44" s="110" t="n"/>
      <c r="J44" s="110" t="n"/>
      <c r="K44" s="110" t="n"/>
      <c r="L44" s="110" t="n"/>
      <c r="M44" s="110" t="n"/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E35B1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2" customWidth="1" min="4" max="4"/>
    <col width="34" customWidth="1" min="5" max="5"/>
  </cols>
  <sheetData>
    <row r="1" ht="30" customHeight="1">
      <c r="A1" s="1" t="n"/>
      <c r="B1" s="118" t="inlineStr">
        <is>
          <t>SMARTTRADER ERP  -  FREE vs PRO</t>
        </is>
      </c>
      <c r="C1" s="1" t="n"/>
      <c r="D1" s="1" t="n"/>
      <c r="E1" s="1" t="n"/>
      <c r="G1" s="74" t="inlineStr">
        <is>
          <t>« Home</t>
        </is>
      </c>
    </row>
    <row r="2">
      <c r="B2" s="119">
        <f>LicStatus</f>
        <v/>
      </c>
    </row>
    <row r="4">
      <c r="B4" s="78" t="inlineStr">
        <is>
          <t>Feature</t>
        </is>
      </c>
      <c r="C4" s="78" t="inlineStr">
        <is>
          <t>FREE</t>
        </is>
      </c>
      <c r="D4" s="120" t="inlineStr">
        <is>
          <t>PRO</t>
        </is>
      </c>
    </row>
    <row r="5" ht="22" customHeight="1">
      <c r="B5" s="121" t="inlineStr">
        <is>
          <t>Sales, Purchases, Cash Book lines counted</t>
        </is>
      </c>
      <c r="C5" s="122" t="inlineStr">
        <is>
          <t>First 200 each</t>
        </is>
      </c>
      <c r="D5" s="122" t="inlineStr">
        <is>
          <t>All (20,000 each)</t>
        </is>
      </c>
    </row>
    <row r="6" ht="22" customHeight="1">
      <c r="B6" s="121" t="inlineStr">
        <is>
          <t>Items &amp; parties</t>
        </is>
      </c>
      <c r="C6" s="122" t="inlineStr">
        <is>
          <t>Unlimited</t>
        </is>
      </c>
      <c r="D6" s="122" t="inlineStr">
        <is>
          <t>Unlimited</t>
        </is>
      </c>
    </row>
    <row r="7" ht="22" customHeight="1">
      <c r="B7" s="121" t="inlineStr">
        <is>
          <t>Live stock, avg cost, reorder &amp; dead-stock alerts</t>
        </is>
      </c>
      <c r="C7" s="122" t="inlineStr">
        <is>
          <t>Yes</t>
        </is>
      </c>
      <c r="D7" s="122" t="inlineStr">
        <is>
          <t>Yes</t>
        </is>
      </c>
    </row>
    <row r="8" ht="22" customHeight="1">
      <c r="B8" s="121" t="inlineStr">
        <is>
          <t>GST: CGST/SGST/IGST split, rate-wise GSTR summary</t>
        </is>
      </c>
      <c r="C8" s="122" t="inlineStr">
        <is>
          <t>Yes</t>
        </is>
      </c>
      <c r="D8" s="122" t="inlineStr">
        <is>
          <t>Yes</t>
        </is>
      </c>
    </row>
    <row r="9" ht="22" customHeight="1">
      <c r="B9" s="121" t="inlineStr">
        <is>
          <t>Customer / supplier ledgers, credit-limit &amp; overdue alerts</t>
        </is>
      </c>
      <c r="C9" s="122" t="inlineStr">
        <is>
          <t>Yes</t>
        </is>
      </c>
      <c r="D9" s="122" t="inlineStr">
        <is>
          <t>Yes</t>
        </is>
      </c>
    </row>
    <row r="10" ht="22" customHeight="1">
      <c r="B10" s="121" t="inlineStr">
        <is>
          <t>A4 tax invoice / delivery challan</t>
        </is>
      </c>
      <c r="C10" s="122" t="inlineStr">
        <is>
          <t>Yes</t>
        </is>
      </c>
      <c r="D10" s="122" t="inlineStr">
        <is>
          <t>Yes</t>
        </is>
      </c>
    </row>
    <row r="11" ht="22" customHeight="1">
      <c r="B11" s="121" t="inlineStr">
        <is>
          <t>Dashboard, monthly P&amp;L, expense analysis</t>
        </is>
      </c>
      <c r="C11" s="122" t="inlineStr">
        <is>
          <t>Yes</t>
        </is>
      </c>
      <c r="D11" s="122" t="inlineStr">
        <is>
          <t>Yes</t>
        </is>
      </c>
    </row>
    <row r="12" ht="22" customHeight="1">
      <c r="B12" s="121" t="inlineStr">
        <is>
          <t>C Engine add-in (Windows, 20k lines, ~6 ms recalculation)</t>
        </is>
      </c>
      <c r="C12" s="122" t="inlineStr">
        <is>
          <t>First 200 lines</t>
        </is>
      </c>
      <c r="D12" s="122" t="inlineStr">
        <is>
          <t>Full</t>
        </is>
      </c>
    </row>
    <row r="13" ht="22" customHeight="1">
      <c r="B13" s="121" t="inlineStr">
        <is>
          <t>Macros: PDF invoices, backup, year-end rollover</t>
        </is>
      </c>
      <c r="C13" s="122" t="inlineStr">
        <is>
          <t>Yes</t>
        </is>
      </c>
      <c r="D13" s="122" t="inlineStr">
        <is>
          <t>Yes</t>
        </is>
      </c>
    </row>
    <row r="14" ht="22" customHeight="1">
      <c r="B14" s="121" t="inlineStr">
        <is>
          <t>Updates &amp; WhatsApp support</t>
        </is>
      </c>
      <c r="C14" s="122" t="inlineStr">
        <is>
          <t>-</t>
        </is>
      </c>
      <c r="D14" s="122" t="inlineStr">
        <is>
          <t>Yes</t>
        </is>
      </c>
    </row>
    <row r="16">
      <c r="B16" s="123" t="inlineStr">
        <is>
          <t>PRO PRICING</t>
        </is>
      </c>
    </row>
    <row r="17">
      <c r="B17" s="120" t="inlineStr">
        <is>
          <t>Plan</t>
        </is>
      </c>
      <c r="C17" s="120" t="inlineStr">
        <is>
          <t>Price</t>
        </is>
      </c>
      <c r="D17" s="120" t="inlineStr">
        <is>
          <t>Per month</t>
        </is>
      </c>
      <c r="E17" s="120" t="inlineStr">
        <is>
          <t>You save</t>
        </is>
      </c>
    </row>
    <row r="18">
      <c r="B18" s="124" t="inlineStr">
        <is>
          <t>Pro - 1 month</t>
        </is>
      </c>
      <c r="C18" s="125" t="n">
        <v>149</v>
      </c>
      <c r="D18" s="125">
        <f>C18/1</f>
        <v/>
      </c>
      <c r="E18" s="125">
        <f>IF(149*1-C18&lt;=0,"-",149*1-C18)</f>
        <v/>
      </c>
    </row>
    <row r="19">
      <c r="B19" s="124" t="inlineStr">
        <is>
          <t>Pro - 6 months</t>
        </is>
      </c>
      <c r="C19" s="125" t="n">
        <v>799</v>
      </c>
      <c r="D19" s="125">
        <f>C19/6</f>
        <v/>
      </c>
      <c r="E19" s="125">
        <f>IF(149*6-C19&lt;=0,"-",149*6-C19)</f>
        <v/>
      </c>
    </row>
    <row r="20">
      <c r="B20" s="124" t="inlineStr">
        <is>
          <t>Pro - 12 months   (best value)</t>
        </is>
      </c>
      <c r="C20" s="125" t="n">
        <v>1299</v>
      </c>
      <c r="D20" s="125">
        <f>C20/12</f>
        <v/>
      </c>
      <c r="E20" s="125">
        <f>IF(149*12-C20&lt;=0,"-",149*12-C20)</f>
        <v/>
      </c>
    </row>
    <row r="21">
      <c r="B21" s="7" t="inlineStr">
        <is>
          <t>Prices in Indian Rupees. GST extra where applicable.</t>
        </is>
      </c>
    </row>
    <row r="23">
      <c r="B23" s="123" t="inlineStr">
        <is>
          <t>HOW TO UPGRADE</t>
        </is>
      </c>
    </row>
    <row r="24">
      <c r="B24" s="70" t="inlineStr">
        <is>
          <t>1.  Pay for a plan and send your mobile number:  WhatsApp: +91-XXXXXXXXXX  ·  UPI: yourname@upi</t>
        </is>
      </c>
    </row>
    <row r="25">
      <c r="B25" s="70" t="inlineStr">
        <is>
          <t>2.  You receive a license key like  PRO-H270411-1HEK</t>
        </is>
      </c>
    </row>
    <row r="26">
      <c r="B26" s="70" t="inlineStr">
        <is>
          <t>3.  Settings sheet: type the same mobile number in B14 and paste the key in B15</t>
        </is>
      </c>
    </row>
    <row r="27">
      <c r="B27" s="70" t="inlineStr">
        <is>
          <t>4.  This page and the Dashboard turn green: every line now counts. Your data is never lost - lines</t>
        </is>
      </c>
    </row>
    <row r="28">
      <c r="B28" s="70" t="inlineStr">
        <is>
          <t xml:space="preserve">     entered beyond the Free limit were kept and are counted the moment Pro is active.</t>
        </is>
      </c>
    </row>
    <row r="30">
      <c r="B30" s="123" t="inlineStr">
        <is>
          <t>HOW PRO COMPARES (yearly price, Oct 2026 listings)</t>
        </is>
      </c>
    </row>
    <row r="31">
      <c r="B31" s="126" t="inlineStr">
        <is>
          <t>Product</t>
        </is>
      </c>
      <c r="C31" s="127" t="inlineStr">
        <is>
          <t>Price / year</t>
        </is>
      </c>
      <c r="D31" s="127" t="inlineStr">
        <is>
          <t>Per month</t>
        </is>
      </c>
      <c r="E31" s="126" t="inlineStr">
        <is>
          <t>Works offline, your data stays in your file</t>
        </is>
      </c>
    </row>
    <row r="32">
      <c r="B32" s="128" t="inlineStr">
        <is>
          <t>SmartTrader Pro (this file)</t>
        </is>
      </c>
      <c r="C32" s="129" t="inlineStr">
        <is>
          <t>Rs 1,299</t>
        </is>
      </c>
      <c r="D32" s="129" t="inlineStr">
        <is>
          <t>Rs 108</t>
        </is>
      </c>
      <c r="E32" s="128" t="inlineStr">
        <is>
          <t>Yes - plain Excel, no login</t>
        </is>
      </c>
    </row>
    <row r="33">
      <c r="B33" s="130" t="inlineStr">
        <is>
          <t>myBillBook Plus / Pro</t>
        </is>
      </c>
      <c r="C33" s="131" t="inlineStr">
        <is>
          <t>Rs 3,490 - 3,990</t>
        </is>
      </c>
      <c r="D33" s="131" t="inlineStr">
        <is>
          <t>Rs 291 - 333</t>
        </is>
      </c>
      <c r="E33" s="130" t="inlineStr">
        <is>
          <t>Cloud account</t>
        </is>
      </c>
    </row>
    <row r="34">
      <c r="B34" s="130" t="inlineStr">
        <is>
          <t>Vyapar Desktop</t>
        </is>
      </c>
      <c r="C34" s="131" t="inlineStr">
        <is>
          <t>Rs 3,399 - 4,099</t>
        </is>
      </c>
      <c r="D34" s="131" t="inlineStr">
        <is>
          <t>Rs 283 - 342</t>
        </is>
      </c>
      <c r="E34" s="130" t="inlineStr">
        <is>
          <t>Desktop app</t>
        </is>
      </c>
    </row>
    <row r="35">
      <c r="B35" s="130" t="inlineStr">
        <is>
          <t>TallyPrime Silver (rental)</t>
        </is>
      </c>
      <c r="C35" s="131" t="inlineStr">
        <is>
          <t>Rs 8,100</t>
        </is>
      </c>
      <c r="D35" s="131" t="inlineStr">
        <is>
          <t>Rs 675</t>
        </is>
      </c>
      <c r="E35" s="130" t="inlineStr">
        <is>
          <t>Desktop app</t>
        </is>
      </c>
    </row>
    <row r="37">
      <c r="B37" s="7" t="inlineStr">
        <is>
          <t>Competitor prices are public listings and change often; they include cloud/mobile features this file does not.</t>
        </is>
      </c>
    </row>
  </sheetData>
  <mergeCells count="2">
    <mergeCell ref="B1:E1"/>
    <mergeCell ref="B2:E2"/>
  </mergeCells>
  <conditionalFormatting sqref="B2">
    <cfRule type="expression" priority="1" dxfId="0">
      <formula>IsPro</formula>
    </cfRule>
  </conditionalFormatting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E9E9E"/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5" customWidth="1" min="3" max="3"/>
  </cols>
  <sheetData>
    <row r="1" ht="30" customHeight="1">
      <c r="A1" s="1" t="n"/>
      <c r="B1" s="118" t="inlineStr">
        <is>
          <t>HOW SMARTTRADER ERP WORKS</t>
        </is>
      </c>
      <c r="C1" s="1" t="n"/>
      <c r="E1" t="inlineStr">
        <is>
          <t>« Home</t>
        </is>
      </c>
    </row>
    <row r="4">
      <c r="B4" s="132" t="inlineStr">
        <is>
          <t>DAILY FLOW: PROCURE → STOCK → SELL → DELIVER → COLLECT</t>
        </is>
      </c>
      <c r="C4" s="57" t="n"/>
    </row>
    <row r="5" ht="28" customHeight="1">
      <c r="B5" s="133" t="inlineStr">
        <is>
          <t>1. Set up once</t>
        </is>
      </c>
      <c r="C5" s="134" t="inlineStr">
        <is>
          <t>Settings: company, GSTIN, home state, FY start, opening cash/bank. Items: product list with opening stock. Parties: customers &amp; suppliers with state and credit limit.</t>
        </is>
      </c>
    </row>
    <row r="6" ht="28" customHeight="1">
      <c r="B6" s="133" t="inlineStr">
        <is>
          <t>2. Buy (Purchases)</t>
        </is>
      </c>
      <c r="C6" s="134" t="inlineStr">
        <is>
          <t>Pick supplier and item from dropdowns, type qty. Rate blank = standard purchase rate. 'Paid Via' blank = on credit (creates payable).</t>
        </is>
      </c>
    </row>
    <row r="7" ht="28" customHeight="1">
      <c r="B7" s="133" t="inlineStr">
        <is>
          <t>3. Stock updates itself</t>
        </is>
      </c>
      <c r="C7" s="134" t="inlineStr">
        <is>
          <t>Items sheet instantly shows closing stock, weighted-average cost, stock value and REORDER / OUT OF STOCK / DEAD STOCK alerts.</t>
        </is>
      </c>
    </row>
    <row r="8" ht="28" customHeight="1">
      <c r="B8" s="133" t="inlineStr">
        <is>
          <t>4. Sell (Sales)</t>
        </is>
      </c>
      <c r="C8" s="134" t="inlineStr">
        <is>
          <t>One line per item; keep all lines of an invoice together. CGST+SGST or IGST is chosen automatically from customer state vs. your home state. 'Stock Check' warns on negative stock or selling below cost.</t>
        </is>
      </c>
    </row>
    <row r="9" ht="28" customHeight="1">
      <c r="B9" s="133" t="inlineStr">
        <is>
          <t>5. Print invoice</t>
        </is>
      </c>
      <c r="C9" s="134" t="inlineStr">
        <is>
          <t>Invoice sheet shows the latest invoice automatically. Type any invoice number in the cream cell to reprint. Ctrl+P (fits one A4 page). Doubles as delivery challan.</t>
        </is>
      </c>
    </row>
    <row r="10" ht="28" customHeight="1">
      <c r="B10" s="133" t="inlineStr">
        <is>
          <t>6. Deliver</t>
        </is>
      </c>
      <c r="C10" s="134" t="inlineStr">
        <is>
          <t>Set the Delivery column (Pending / Packed / Dispatched / Delivered). Dashboard counts what is still pending.</t>
        </is>
      </c>
    </row>
    <row r="11" ht="28" customHeight="1">
      <c r="B11" s="133" t="inlineStr">
        <is>
          <t>7. Collect &amp; pay (CashBook)</t>
        </is>
      </c>
      <c r="C11" s="134" t="inlineStr">
        <is>
          <t>Receipt = money from customer; Payment = money to supplier; Expense = shop costs; Transfer In/Out moves money between Cash/Bank/UPI (enter both legs).</t>
        </is>
      </c>
    </row>
    <row r="12" ht="28" customHeight="1">
      <c r="B12" s="133" t="inlineStr">
        <is>
          <t>8. Review</t>
        </is>
      </c>
      <c r="C12" s="134" t="inlineStr">
        <is>
          <t>Dashboard for the live picture, Reports for monthly P&amp;L, GST rate-wise summary and expense analysis.</t>
        </is>
      </c>
    </row>
    <row r="14">
      <c r="B14" s="132" t="inlineStr">
        <is>
          <t>PAIN POINTS THIS SOLVES</t>
        </is>
      </c>
      <c r="C14" s="57" t="n"/>
    </row>
    <row r="15" ht="28" customHeight="1">
      <c r="B15" s="133" t="inlineStr">
        <is>
          <t>Stock never matches</t>
        </is>
      </c>
      <c r="C15" s="134" t="inlineStr">
        <is>
          <t>Single source of truth: stock = opening + purchases − sales ± adjustments. No manual stock register.</t>
        </is>
      </c>
    </row>
    <row r="16" ht="28" customHeight="1">
      <c r="B16" s="133" t="inlineStr">
        <is>
          <t>Don't know real profit</t>
        </is>
      </c>
      <c r="C16" s="134" t="inlineStr">
        <is>
          <t>Every sale line carries COGS at weighted-average cost, so gross and net profit are exact per line, item, month.</t>
        </is>
      </c>
    </row>
    <row r="17" ht="28" customHeight="1">
      <c r="B17" s="133" t="inlineStr">
        <is>
          <t>Money stuck with customers</t>
        </is>
      </c>
      <c r="C17" s="134" t="inlineStr">
        <is>
          <t>Party ledger with credit limit, credit days, OVERDUE / OVER LIMIT flags and Days Unpaid.</t>
        </is>
      </c>
    </row>
    <row r="18" ht="28" customHeight="1">
      <c r="B18" s="133" t="inlineStr">
        <is>
          <t>Running out / overstock</t>
        </is>
      </c>
      <c r="C18" s="134" t="inlineStr">
        <is>
          <t>Reorder level + suggested order qty, days-of-cover, and dead-stock detection (no sale in N days).</t>
        </is>
      </c>
    </row>
    <row r="19" ht="28" customHeight="1">
      <c r="B19" s="133" t="inlineStr">
        <is>
          <t>GST headache</t>
        </is>
      </c>
      <c r="C19" s="134" t="inlineStr">
        <is>
          <t>Automatic CGST/SGST vs IGST split, rate-wise output vs input summary per FY, net payable on dashboard.</t>
        </is>
      </c>
    </row>
    <row r="20" ht="28" customHeight="1">
      <c r="B20" s="133" t="inlineStr">
        <is>
          <t>Double entry for cash sales</t>
        </is>
      </c>
      <c r="C20" s="134" t="inlineStr">
        <is>
          <t>'Paid Via' on the bill itself books cash/bank/UPI immediately - no separate receipt needed.</t>
        </is>
      </c>
    </row>
    <row r="21" ht="28" customHeight="1">
      <c r="B21" s="133" t="inlineStr">
        <is>
          <t>Typing errors</t>
        </is>
      </c>
      <c r="C21" s="134" t="inlineStr">
        <is>
          <t>Dropdowns everywhere, unique-name checks, qty/date validation, row-level 'Check' columns.</t>
        </is>
      </c>
    </row>
    <row r="22" ht="28" customHeight="1">
      <c r="B22" s="133" t="inlineStr">
        <is>
          <t>Slow, crashing Excel files</t>
        </is>
      </c>
      <c r="C22" s="134" t="inlineStr">
        <is>
          <t>See SPEED DESIGN below.</t>
        </is>
      </c>
    </row>
    <row r="24">
      <c r="B24" s="132" t="inlineStr">
        <is>
          <t>SPEED DESIGN (why it stays fast)</t>
        </is>
      </c>
      <c r="C24" s="57" t="n"/>
    </row>
    <row r="25" ht="28" customHeight="1">
      <c r="B25" s="133" t="inlineStr">
        <is>
          <t>No volatile functions</t>
        </is>
      </c>
      <c r="C25" s="134" t="inlineStr">
        <is>
          <t>No OFFSET/INDIRECT in cell formulas; TODAY() appears once (Settings!B10). Volatile names are used only by dropdowns, which are not recalculated.</t>
        </is>
      </c>
    </row>
    <row r="26" ht="28" customHeight="1">
      <c r="B26" s="133" t="inlineStr">
        <is>
          <t>Bounded ranges</t>
        </is>
      </c>
      <c r="C26" s="134" t="inlineStr">
        <is>
          <t>All lookups use fixed ranges (20,000 transaction rows, 2000 items, 1000 parties) - never whole-column A:A references.</t>
        </is>
      </c>
    </row>
    <row r="27" ht="28" customHeight="1">
      <c r="B27" s="133" t="inlineStr">
        <is>
          <t>Match once, reuse</t>
        </is>
      </c>
      <c r="C27" s="134" t="inlineStr">
        <is>
          <t>Each transaction row runs one MATCH into a hidden helper column, then several cheap INDEX calls reuse it.</t>
        </is>
      </c>
    </row>
    <row r="28" ht="28" customHeight="1">
      <c r="B28" s="133" t="inlineStr">
        <is>
          <t>SUMIFS engine</t>
        </is>
      </c>
      <c r="C28" s="134" t="inlineStr">
        <is>
          <t>All aggregation uses SUMIFS/COUNTIFS - Excel's fastest multi-threaded aggregation functions. No SUMPRODUCT or array formulas.</t>
        </is>
      </c>
    </row>
    <row r="29" ht="28" customHeight="1">
      <c r="B29" s="133" t="inlineStr">
        <is>
          <t>Extra boost (optional)</t>
        </is>
      </c>
      <c r="C29" s="134" t="inlineStr">
        <is>
          <t>Import ERP_Macros.bas (File &gt; Save As .xlsm, Alt+F11 &gt; File &gt; Import) for one-click Fast Mode, new invoice, PDF invoice, backup and archive.</t>
        </is>
      </c>
    </row>
    <row r="31">
      <c r="B31" s="132" t="inlineStr">
        <is>
          <t>RULES &amp; LIMITS</t>
        </is>
      </c>
      <c r="C31" s="57" t="n"/>
    </row>
    <row r="32" ht="28" customHeight="1">
      <c r="B32" s="133" t="inlineStr">
        <is>
          <t>Colour code</t>
        </is>
      </c>
      <c r="C32" s="134" t="inlineStr">
        <is>
          <t>Blue text on cream = you type. Black/grey = formula, never overwrite. Green = linked from another sheet.</t>
        </is>
      </c>
    </row>
    <row r="33" ht="28" customHeight="1">
      <c r="B33" s="133" t="inlineStr">
        <is>
          <t>Sample data</t>
        </is>
      </c>
      <c r="C33" s="134" t="inlineStr">
        <is>
          <t>Rows already filled are DEMO data. Clear only the cream input cells (or run ClearDemoData macro) before going live.</t>
        </is>
      </c>
    </row>
    <row r="34" ht="28" customHeight="1">
      <c r="B34" s="133" t="inlineStr">
        <is>
          <t>Capacity</t>
        </is>
      </c>
      <c r="C34" s="134" t="inlineStr">
        <is>
          <t>20,000 lines per register per year. At year end: Save As a new file, set new FY start, carry forward closing stock as Opening Qty/Rate and party balances as Opening Bal.</t>
        </is>
      </c>
    </row>
    <row r="35" ht="28" customHeight="1">
      <c r="B35" s="133" t="inlineStr">
        <is>
          <t>Returns</t>
        </is>
      </c>
      <c r="C35" s="134" t="inlineStr">
        <is>
          <t>Sales return: Adjustments with +qty, reason 'Sales Return', plus a Payment / credit in CashBook. Purchase return: −qty and a Receipt from supplier.</t>
        </is>
      </c>
    </row>
    <row r="36" ht="28" customHeight="1">
      <c r="B36" s="133" t="inlineStr">
        <is>
          <t>Costing method</t>
        </is>
      </c>
      <c r="C36" s="134" t="inlineStr">
        <is>
          <t>Weighted-average cost over the year (opening + all purchases). COGS uses the current average, the standard method for traders.</t>
        </is>
      </c>
    </row>
    <row r="37" ht="28" customHeight="1">
      <c r="B37" s="133" t="inlineStr">
        <is>
          <t>Assumption</t>
        </is>
      </c>
      <c r="C37" s="134" t="inlineStr">
        <is>
          <t>Currency ₹ and Indian GST structure. Rates in Settings are editable; verify slabs with your CA.</t>
        </is>
      </c>
    </row>
    <row r="39">
      <c r="B39" s="132" t="inlineStr">
        <is>
          <t>C ENGINE EDITION (SmartTrader64.xll)</t>
        </is>
      </c>
      <c r="C39" s="57" t="n"/>
    </row>
    <row r="40" ht="28" customHeight="1">
      <c r="B40" s="133" t="inlineStr">
        <is>
          <t>What it is</t>
        </is>
      </c>
      <c r="C40" s="134" t="inlineStr">
        <is>
          <t>A native Excel add-in written in C. Stock, cost, GST, party ledgers and the cash book are posted in one pass by compiled code - six formulas instead of ~100,000. Results are identical to the formula edition, cell for cell.</t>
        </is>
      </c>
    </row>
    <row r="41" ht="28" customHeight="1">
      <c r="B41" s="133" t="inlineStr">
        <is>
          <t>Install once</t>
        </is>
      </c>
      <c r="C41" s="134" t="inlineStr">
        <is>
          <t>1) Copy SmartTrader64.xll (or SmartTrader32.xll for 32-bit Office) to a folder, e.g. Documents\SmartTrader. 2) Right-click it &gt; Properties &gt; tick 'Unblock' &gt; OK (Windows blocks add-ins downloaded from the internet). 3) Excel &gt; File &gt; Options &gt; Add-ins &gt; Manage: Excel Add-ins &gt; Go &gt; Browse &gt; pick the .xll &gt; OK.</t>
        </is>
      </c>
    </row>
    <row r="42" ht="28" customHeight="1">
      <c r="B42" s="133" t="inlineStr">
        <is>
          <t>Check it works</t>
        </is>
      </c>
      <c r="C42" s="134" t="inlineStr">
        <is>
          <t>Dashboard top-right shows 'Engine: SmartTrader C Engine 1.0'. A red '!! C engine not loaded' means step 3 was skipped and the grey columns show NAME errors until the add-in is loaded. Your typed data is never affected.</t>
        </is>
      </c>
    </row>
    <row r="43" ht="28" customHeight="1">
      <c r="B43" s="133" t="inlineStr">
        <is>
          <t>Which .xll?</t>
        </is>
      </c>
      <c r="C43" s="134" t="inlineStr">
        <is>
          <t>Excel &gt; File &gt; Account &gt; About Excel shows '64-bit' or '32-bit'. Use the matching file.</t>
        </is>
      </c>
    </row>
    <row r="44" ht="28" customHeight="1">
      <c r="B44" s="133" t="inlineStr">
        <is>
          <t>Capacity</t>
        </is>
      </c>
      <c r="C44" s="134" t="inlineStr">
        <is>
          <t>20,000 lines per register, 2,000 items, 1,000 parties. A full recalculation of the sample data takes about 5 ms.</t>
        </is>
      </c>
    </row>
    <row r="45" ht="28" customHeight="1">
      <c r="B45" s="133" t="inlineStr">
        <is>
          <t>Do not</t>
        </is>
      </c>
      <c r="C45" s="134" t="inlineStr">
        <is>
          <t>Sort the register sheets (the grey output blocks are single array formulas; use the filter arrows instead) or type inside grey columns.</t>
        </is>
      </c>
    </row>
    <row r="46" ht="28" customHeight="1">
      <c r="B46" s="133" t="inlineStr">
        <is>
          <t>Platforms</t>
        </is>
      </c>
      <c r="C46" s="134" t="inlineStr">
        <is>
          <t>Excel for Windows (2010 and later, 32- or 64-bit). On Mac / Excel Online use the formula edition (SmartTrader_ERP.xlsx), which has the same layout.</t>
        </is>
      </c>
    </row>
  </sheetData>
  <mergeCells count="6">
    <mergeCell ref="B39:C39"/>
    <mergeCell ref="B24:C24"/>
    <mergeCell ref="B14:C14"/>
    <mergeCell ref="B31:C31"/>
    <mergeCell ref="B1:C1"/>
    <mergeCell ref="B4:C4"/>
  </mergeCells>
  <hyperlinks>
    <hyperlink xmlns:r="http://schemas.openxmlformats.org/officeDocument/2006/relationships" ref="E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>
        <f>UPPER(TRIM(LicKey&amp;""))</f>
        <v/>
      </c>
      <c r="B1" t="inlineStr">
        <is>
          <t>key</t>
        </is>
      </c>
    </row>
    <row r="2">
      <c r="A2">
        <f>LEFT(TRIM(LicId&amp;""),20)</f>
        <v/>
      </c>
      <c r="B2" t="inlineStr">
        <is>
          <t>id</t>
        </is>
      </c>
    </row>
    <row r="3">
      <c r="A3">
        <f>MID(A1,5,1)</f>
        <v/>
      </c>
      <c r="B3" t="inlineStr">
        <is>
          <t>plan</t>
        </is>
      </c>
    </row>
    <row r="4">
      <c r="A4">
        <f>IFERROR(DATE(2000+VALUE(MID(A1,6,2)),VALUE(MID(A1,8,2)),VALUE(MID(A1,10,2))),0)</f>
        <v/>
      </c>
      <c r="B4" t="inlineStr">
        <is>
          <t>expiry</t>
        </is>
      </c>
    </row>
    <row r="5">
      <c r="A5">
        <f>LEFT(A2&amp;"|"&amp;A3&amp;"|"&amp;(YEAR(A4)*10000+MONTH(A4)*100+DAY(A4))&amp;REPT(" ",40),40)</f>
        <v/>
      </c>
      <c r="B5" t="inlineStr">
        <is>
          <t>message</t>
        </is>
      </c>
    </row>
    <row r="6">
      <c r="A6">
        <f>SUMPRODUCT(CODE(MID(A5,ROW($A$1:$A$40),1))*(MOD(ROW($A$1:$A$40)*7919,10007)+1))</f>
        <v/>
      </c>
      <c r="B6" t="inlineStr">
        <is>
          <t>sum</t>
        </is>
      </c>
    </row>
    <row r="7">
      <c r="A7">
        <f>MOD(A6*9967+424242,1679616)</f>
        <v/>
      </c>
      <c r="B7" t="inlineStr">
        <is>
          <t>check</t>
        </is>
      </c>
    </row>
    <row r="8">
      <c r="A8">
        <f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/>
      </c>
      <c r="B8" t="inlineStr">
        <is>
          <t>check36</t>
        </is>
      </c>
    </row>
    <row r="9">
      <c r="A9">
        <f>AND(LEN(A1)=16,LEFT(A1,4)="PRO-",MID(A1,12,1)="-",ISNUMBER(FIND(A3,"MHY")),A4&gt;0,LEN(A2)&gt;0,RIGHT(A1,4)=A8)</f>
        <v/>
      </c>
      <c r="B9" t="inlineStr">
        <is>
          <t>valid</t>
        </is>
      </c>
    </row>
    <row r="10">
      <c r="A10">
        <f>AND(A9,TODAY()&lt;=A4)</f>
        <v/>
      </c>
      <c r="B10" t="inlineStr">
        <is>
          <t>is pro</t>
        </is>
      </c>
    </row>
    <row r="11">
      <c r="A11">
        <f>IF(A10,20000,200)</f>
        <v/>
      </c>
      <c r="B11" t="inlineStr">
        <is>
          <t>tx rows</t>
        </is>
      </c>
    </row>
    <row r="12">
      <c r="A12">
        <f>IF(A3="M","1 month",IF(A3="H","6 months","12 months"))</f>
        <v/>
      </c>
      <c r="B12" t="inlineStr">
        <is>
          <t>plan label</t>
        </is>
      </c>
    </row>
    <row r="13">
      <c r="A13">
        <f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/>
      </c>
      <c r="B13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2026-10-11T07:04:42Z</dcterms:created>
  <dcterms:modified xmlns:dcterms="http://purl.org/dc/terms/" xmlns:xsi="http://www.w3.org/2001/XMLSchema-instance" xsi:type="dcterms:W3CDTF">2026-10-11T07:04:43Z</dcterms:modified>
</cp:coreProperties>
</file>